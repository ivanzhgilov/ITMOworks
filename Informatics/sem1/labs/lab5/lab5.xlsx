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Z\Documents\ITMOworks\Informatics\sem1\labs\lab5\"/>
    </mc:Choice>
  </mc:AlternateContent>
  <xr:revisionPtr revIDLastSave="0" documentId="13_ncr:1_{6411EE1B-5E3E-4A50-A645-8F351BD4C480}" xr6:coauthVersionLast="47" xr6:coauthVersionMax="47" xr10:uidLastSave="{00000000-0000-0000-0000-000000000000}"/>
  <bookViews>
    <workbookView xWindow="-98" yWindow="-98" windowWidth="21795" windowHeight="14595" xr2:uid="{852FB80D-8F8A-4BEB-8E0A-9575C1A8D7DC}"/>
  </bookViews>
  <sheets>
    <sheet name="Лист1" sheetId="1" r:id="rId1"/>
  </sheets>
  <definedNames>
    <definedName name="_xlnm.Print_Area" localSheetId="0">Лист1!$A$1:$BO$125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6" i="1" l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Z81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Z79" i="1"/>
  <c r="AV81" i="1"/>
  <c r="AV79" i="1"/>
  <c r="AV71" i="1"/>
  <c r="AV69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Z71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Z69" i="1"/>
  <c r="AR83" i="1"/>
  <c r="AO80" i="1"/>
  <c r="AP80" i="1"/>
  <c r="AV83" i="1"/>
  <c r="AR73" i="1"/>
  <c r="AP70" i="1"/>
  <c r="AV73" i="1"/>
  <c r="AV61" i="1"/>
  <c r="AV59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Z61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Z59" i="1"/>
  <c r="AR63" i="1"/>
  <c r="AP60" i="1"/>
  <c r="AV63" i="1"/>
  <c r="AV51" i="1"/>
  <c r="AV53" i="1" s="1"/>
  <c r="AV49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Z51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Z49" i="1"/>
  <c r="AR53" i="1"/>
  <c r="AO50" i="1"/>
  <c r="AP50" i="1"/>
  <c r="AQ43" i="1"/>
  <c r="AV41" i="1"/>
  <c r="AV39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Z41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Z39" i="1"/>
  <c r="AR43" i="1"/>
  <c r="AP40" i="1"/>
  <c r="AV43" i="1"/>
  <c r="AV31" i="1"/>
  <c r="AV29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Z31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Z29" i="1"/>
  <c r="AR33" i="1"/>
  <c r="AV33" i="1"/>
  <c r="AP30" i="1"/>
  <c r="AS26" i="1"/>
  <c r="AR23" i="1"/>
  <c r="AP20" i="1"/>
  <c r="W20" i="1"/>
  <c r="I7" i="1"/>
  <c r="I33" i="1" s="1"/>
  <c r="G6" i="1"/>
  <c r="Z21" i="1" s="1"/>
  <c r="H6" i="1"/>
  <c r="H26" i="1" s="1"/>
  <c r="N6" i="1"/>
  <c r="AG21" i="1" s="1"/>
  <c r="V6" i="1"/>
  <c r="AO21" i="1" s="1"/>
  <c r="M9" i="1"/>
  <c r="M47" i="1" s="1"/>
  <c r="O9" i="1"/>
  <c r="O47" i="1" s="1"/>
  <c r="I5" i="1"/>
  <c r="I19" i="1" s="1"/>
  <c r="S5" i="1"/>
  <c r="S19" i="1" s="1"/>
  <c r="T5" i="1"/>
  <c r="T19" i="1" s="1"/>
  <c r="U5" i="1"/>
  <c r="U19" i="1" s="1"/>
  <c r="V5" i="1"/>
  <c r="V19" i="1" s="1"/>
  <c r="F11" i="1"/>
  <c r="F12" i="1"/>
  <c r="F13" i="1"/>
  <c r="F14" i="1"/>
  <c r="F15" i="1"/>
  <c r="F16" i="1"/>
  <c r="B15" i="1"/>
  <c r="B16" i="1"/>
  <c r="B13" i="1"/>
  <c r="B14" i="1"/>
  <c r="B12" i="1"/>
  <c r="B11" i="1"/>
  <c r="C7" i="1"/>
  <c r="G7" i="1" s="1"/>
  <c r="G33" i="1" s="1"/>
  <c r="C8" i="1"/>
  <c r="C14" i="1" s="1"/>
  <c r="C9" i="1"/>
  <c r="K9" i="1" s="1"/>
  <c r="K47" i="1" s="1"/>
  <c r="C6" i="1"/>
  <c r="C12" i="1" s="1"/>
  <c r="C5" i="1"/>
  <c r="C11" i="1" s="1"/>
  <c r="AN80" i="1" l="1"/>
  <c r="AM83" i="1" s="1"/>
  <c r="AO73" i="1"/>
  <c r="AN83" i="1"/>
  <c r="AO83" i="1"/>
  <c r="AO70" i="1"/>
  <c r="AN73" i="1" s="1"/>
  <c r="AO60" i="1"/>
  <c r="AN60" i="1" s="1"/>
  <c r="AO63" i="1"/>
  <c r="AN53" i="1"/>
  <c r="AN50" i="1"/>
  <c r="AM53" i="1" s="1"/>
  <c r="AO53" i="1"/>
  <c r="AO40" i="1"/>
  <c r="AN43" i="1" s="1"/>
  <c r="AO43" i="1"/>
  <c r="AO30" i="1"/>
  <c r="AN30" i="1" s="1"/>
  <c r="AM30" i="1" s="1"/>
  <c r="AO33" i="1"/>
  <c r="V23" i="1"/>
  <c r="V11" i="1" s="1"/>
  <c r="V20" i="1"/>
  <c r="U20" i="1" s="1"/>
  <c r="T20" i="1" s="1"/>
  <c r="S20" i="1" s="1"/>
  <c r="M5" i="1"/>
  <c r="G9" i="1"/>
  <c r="G47" i="1" s="1"/>
  <c r="U7" i="1"/>
  <c r="U33" i="1" s="1"/>
  <c r="R6" i="1"/>
  <c r="G26" i="1"/>
  <c r="AA21" i="1"/>
  <c r="N5" i="1"/>
  <c r="H9" i="1"/>
  <c r="H47" i="1" s="1"/>
  <c r="V7" i="1"/>
  <c r="V33" i="1" s="1"/>
  <c r="V37" i="1" s="1"/>
  <c r="V13" i="1" s="1"/>
  <c r="C15" i="1"/>
  <c r="L5" i="1"/>
  <c r="V8" i="1"/>
  <c r="V40" i="1" s="1"/>
  <c r="V41" i="1" s="1"/>
  <c r="U41" i="1" s="1"/>
  <c r="T41" i="1" s="1"/>
  <c r="S41" i="1" s="1"/>
  <c r="R41" i="1" s="1"/>
  <c r="Q41" i="1" s="1"/>
  <c r="T7" i="1"/>
  <c r="T33" i="1" s="1"/>
  <c r="Q6" i="1"/>
  <c r="V26" i="1"/>
  <c r="K5" i="1"/>
  <c r="U8" i="1"/>
  <c r="U40" i="1" s="1"/>
  <c r="S7" i="1"/>
  <c r="S33" i="1" s="1"/>
  <c r="P6" i="1"/>
  <c r="AB19" i="1"/>
  <c r="J5" i="1"/>
  <c r="V9" i="1"/>
  <c r="V47" i="1" s="1"/>
  <c r="V51" i="1" s="1"/>
  <c r="V15" i="1" s="1"/>
  <c r="T8" i="1"/>
  <c r="T40" i="1" s="1"/>
  <c r="R7" i="1"/>
  <c r="R33" i="1" s="1"/>
  <c r="O6" i="1"/>
  <c r="H5" i="1"/>
  <c r="T9" i="1"/>
  <c r="T47" i="1" s="1"/>
  <c r="R8" i="1"/>
  <c r="R40" i="1" s="1"/>
  <c r="P7" i="1"/>
  <c r="P33" i="1" s="1"/>
  <c r="M6" i="1"/>
  <c r="S9" i="1"/>
  <c r="S47" i="1" s="1"/>
  <c r="Q8" i="1"/>
  <c r="Q40" i="1" s="1"/>
  <c r="O7" i="1"/>
  <c r="O33" i="1" s="1"/>
  <c r="L6" i="1"/>
  <c r="R9" i="1"/>
  <c r="R47" i="1" s="1"/>
  <c r="P8" i="1"/>
  <c r="P40" i="1" s="1"/>
  <c r="N7" i="1"/>
  <c r="N33" i="1" s="1"/>
  <c r="K6" i="1"/>
  <c r="AO19" i="1"/>
  <c r="AO23" i="1" s="1"/>
  <c r="U9" i="1"/>
  <c r="U47" i="1" s="1"/>
  <c r="S8" i="1"/>
  <c r="S40" i="1" s="1"/>
  <c r="Q7" i="1"/>
  <c r="Q33" i="1" s="1"/>
  <c r="G5" i="1"/>
  <c r="Q9" i="1"/>
  <c r="Q47" i="1" s="1"/>
  <c r="O8" i="1"/>
  <c r="O40" i="1" s="1"/>
  <c r="M7" i="1"/>
  <c r="M33" i="1" s="1"/>
  <c r="J6" i="1"/>
  <c r="AN19" i="1"/>
  <c r="K8" i="1"/>
  <c r="K40" i="1" s="1"/>
  <c r="H7" i="1"/>
  <c r="H33" i="1" s="1"/>
  <c r="P9" i="1"/>
  <c r="P47" i="1" s="1"/>
  <c r="N8" i="1"/>
  <c r="N40" i="1" s="1"/>
  <c r="L7" i="1"/>
  <c r="L33" i="1" s="1"/>
  <c r="N26" i="1"/>
  <c r="AM19" i="1"/>
  <c r="M8" i="1"/>
  <c r="M40" i="1" s="1"/>
  <c r="K7" i="1"/>
  <c r="K33" i="1" s="1"/>
  <c r="AL19" i="1"/>
  <c r="C13" i="1"/>
  <c r="N9" i="1"/>
  <c r="N47" i="1" s="1"/>
  <c r="L8" i="1"/>
  <c r="L40" i="1" s="1"/>
  <c r="J7" i="1"/>
  <c r="J33" i="1" s="1"/>
  <c r="AV19" i="1"/>
  <c r="AV21" i="1"/>
  <c r="R5" i="1"/>
  <c r="L9" i="1"/>
  <c r="L47" i="1" s="1"/>
  <c r="J8" i="1"/>
  <c r="J40" i="1" s="1"/>
  <c r="I6" i="1"/>
  <c r="P5" i="1"/>
  <c r="J9" i="1"/>
  <c r="J47" i="1" s="1"/>
  <c r="H8" i="1"/>
  <c r="H40" i="1" s="1"/>
  <c r="U6" i="1"/>
  <c r="O5" i="1"/>
  <c r="I9" i="1"/>
  <c r="I47" i="1" s="1"/>
  <c r="G8" i="1"/>
  <c r="G40" i="1" s="1"/>
  <c r="T6" i="1"/>
  <c r="Q5" i="1"/>
  <c r="I8" i="1"/>
  <c r="I40" i="1" s="1"/>
  <c r="S6" i="1"/>
  <c r="U23" i="1"/>
  <c r="U11" i="1" s="1"/>
  <c r="C10" i="1"/>
  <c r="AM80" i="1" l="1"/>
  <c r="AN70" i="1"/>
  <c r="AN63" i="1"/>
  <c r="AM60" i="1"/>
  <c r="AM63" i="1"/>
  <c r="AM50" i="1"/>
  <c r="AN40" i="1"/>
  <c r="AN33" i="1"/>
  <c r="AL30" i="1"/>
  <c r="AL33" i="1"/>
  <c r="AM33" i="1"/>
  <c r="AF21" i="1"/>
  <c r="M26" i="1"/>
  <c r="AV23" i="1"/>
  <c r="AJ21" i="1"/>
  <c r="Q26" i="1"/>
  <c r="AE19" i="1"/>
  <c r="L19" i="1"/>
  <c r="H19" i="1"/>
  <c r="AA19" i="1"/>
  <c r="V44" i="1"/>
  <c r="V14" i="1" s="1"/>
  <c r="G19" i="1"/>
  <c r="Z19" i="1"/>
  <c r="AG19" i="1"/>
  <c r="N19" i="1"/>
  <c r="AM21" i="1"/>
  <c r="T26" i="1"/>
  <c r="AK21" i="1"/>
  <c r="R26" i="1"/>
  <c r="AH19" i="1"/>
  <c r="O19" i="1"/>
  <c r="J19" i="1"/>
  <c r="AC19" i="1"/>
  <c r="V48" i="1"/>
  <c r="U51" i="1" s="1"/>
  <c r="U15" i="1" s="1"/>
  <c r="R19" i="1"/>
  <c r="AK19" i="1"/>
  <c r="AC21" i="1"/>
  <c r="J26" i="1"/>
  <c r="AL21" i="1"/>
  <c r="S26" i="1"/>
  <c r="AJ19" i="1"/>
  <c r="Q19" i="1"/>
  <c r="AH21" i="1"/>
  <c r="O26" i="1"/>
  <c r="V34" i="1"/>
  <c r="AN21" i="1"/>
  <c r="U26" i="1"/>
  <c r="AD21" i="1"/>
  <c r="K26" i="1"/>
  <c r="AI21" i="1"/>
  <c r="P26" i="1"/>
  <c r="AF19" i="1"/>
  <c r="M19" i="1"/>
  <c r="AO20" i="1"/>
  <c r="C16" i="1"/>
  <c r="M10" i="1"/>
  <c r="M54" i="1" s="1"/>
  <c r="K10" i="1"/>
  <c r="K54" i="1" s="1"/>
  <c r="L10" i="1"/>
  <c r="L54" i="1" s="1"/>
  <c r="N10" i="1"/>
  <c r="N54" i="1" s="1"/>
  <c r="P10" i="1"/>
  <c r="P54" i="1" s="1"/>
  <c r="Q10" i="1"/>
  <c r="Q54" i="1" s="1"/>
  <c r="R10" i="1"/>
  <c r="R54" i="1" s="1"/>
  <c r="S10" i="1"/>
  <c r="S54" i="1" s="1"/>
  <c r="O10" i="1"/>
  <c r="O54" i="1" s="1"/>
  <c r="T10" i="1"/>
  <c r="T54" i="1" s="1"/>
  <c r="U10" i="1"/>
  <c r="U54" i="1" s="1"/>
  <c r="V10" i="1"/>
  <c r="V54" i="1" s="1"/>
  <c r="G10" i="1"/>
  <c r="G54" i="1" s="1"/>
  <c r="H10" i="1"/>
  <c r="H54" i="1" s="1"/>
  <c r="J10" i="1"/>
  <c r="J54" i="1" s="1"/>
  <c r="I10" i="1"/>
  <c r="I54" i="1" s="1"/>
  <c r="AI19" i="1"/>
  <c r="P19" i="1"/>
  <c r="T23" i="1"/>
  <c r="T11" i="1" s="1"/>
  <c r="AE21" i="1"/>
  <c r="L26" i="1"/>
  <c r="K19" i="1"/>
  <c r="AD19" i="1"/>
  <c r="S23" i="1"/>
  <c r="S11" i="1" s="1"/>
  <c r="AB21" i="1"/>
  <c r="I26" i="1"/>
  <c r="V27" i="1"/>
  <c r="U27" i="1" s="1"/>
  <c r="V30" i="1"/>
  <c r="V12" i="1" s="1"/>
  <c r="U44" i="1"/>
  <c r="U14" i="1" s="1"/>
  <c r="U37" i="1"/>
  <c r="U13" i="1" s="1"/>
  <c r="U34" i="1"/>
  <c r="T44" i="1"/>
  <c r="T14" i="1" s="1"/>
  <c r="P41" i="1"/>
  <c r="P44" i="1"/>
  <c r="P14" i="1" s="1"/>
  <c r="Q44" i="1"/>
  <c r="Q14" i="1" s="1"/>
  <c r="S44" i="1"/>
  <c r="S14" i="1" s="1"/>
  <c r="R44" i="1"/>
  <c r="R14" i="1" s="1"/>
  <c r="AL83" i="1" l="1"/>
  <c r="AL80" i="1"/>
  <c r="AM73" i="1"/>
  <c r="AM70" i="1"/>
  <c r="AL63" i="1"/>
  <c r="AL60" i="1"/>
  <c r="AL53" i="1"/>
  <c r="AL50" i="1"/>
  <c r="AM43" i="1"/>
  <c r="AM40" i="1"/>
  <c r="AD36" i="1"/>
  <c r="AK30" i="1"/>
  <c r="AK33" i="1"/>
  <c r="U55" i="1"/>
  <c r="T55" i="1" s="1"/>
  <c r="V58" i="1"/>
  <c r="V16" i="1" s="1"/>
  <c r="V55" i="1"/>
  <c r="U58" i="1" s="1"/>
  <c r="U16" i="1" s="1"/>
  <c r="AN20" i="1"/>
  <c r="AM20" i="1" s="1"/>
  <c r="AL20" i="1" s="1"/>
  <c r="R20" i="1"/>
  <c r="Q20" i="1" s="1"/>
  <c r="R23" i="1"/>
  <c r="R11" i="1" s="1"/>
  <c r="U48" i="1"/>
  <c r="U30" i="1"/>
  <c r="U12" i="1" s="1"/>
  <c r="T27" i="1"/>
  <c r="S27" i="1" s="1"/>
  <c r="T30" i="1"/>
  <c r="T12" i="1" s="1"/>
  <c r="AN23" i="1"/>
  <c r="T34" i="1"/>
  <c r="T37" i="1"/>
  <c r="T13" i="1" s="1"/>
  <c r="T58" i="1"/>
  <c r="T16" i="1" s="1"/>
  <c r="O41" i="1"/>
  <c r="O44" i="1"/>
  <c r="O14" i="1" s="1"/>
  <c r="AD86" i="1" l="1"/>
  <c r="AK80" i="1"/>
  <c r="AK83" i="1"/>
  <c r="AL70" i="1"/>
  <c r="AL73" i="1"/>
  <c r="AD66" i="1"/>
  <c r="AK60" i="1"/>
  <c r="AK63" i="1"/>
  <c r="AD56" i="1"/>
  <c r="AK53" i="1"/>
  <c r="AK50" i="1"/>
  <c r="AL43" i="1"/>
  <c r="AL40" i="1"/>
  <c r="AJ33" i="1"/>
  <c r="AJ30" i="1"/>
  <c r="AD26" i="1"/>
  <c r="AK20" i="1"/>
  <c r="AJ20" i="1" s="1"/>
  <c r="AK23" i="1"/>
  <c r="T51" i="1"/>
  <c r="T15" i="1" s="1"/>
  <c r="T48" i="1"/>
  <c r="P20" i="1"/>
  <c r="P23" i="1"/>
  <c r="P11" i="1" s="1"/>
  <c r="AL23" i="1"/>
  <c r="S30" i="1"/>
  <c r="S12" i="1" s="1"/>
  <c r="AM23" i="1"/>
  <c r="Q23" i="1"/>
  <c r="Q11" i="1" s="1"/>
  <c r="R27" i="1"/>
  <c r="R30" i="1"/>
  <c r="R12" i="1" s="1"/>
  <c r="AJ23" i="1"/>
  <c r="S34" i="1"/>
  <c r="S37" i="1"/>
  <c r="S13" i="1" s="1"/>
  <c r="S55" i="1"/>
  <c r="S58" i="1"/>
  <c r="S16" i="1" s="1"/>
  <c r="N41" i="1"/>
  <c r="N44" i="1"/>
  <c r="N14" i="1" s="1"/>
  <c r="AJ80" i="1" l="1"/>
  <c r="AJ83" i="1"/>
  <c r="AD76" i="1"/>
  <c r="AK70" i="1"/>
  <c r="AK73" i="1"/>
  <c r="AJ60" i="1"/>
  <c r="AJ63" i="1"/>
  <c r="AJ53" i="1"/>
  <c r="AJ50" i="1"/>
  <c r="AD46" i="1"/>
  <c r="AK43" i="1"/>
  <c r="AK40" i="1"/>
  <c r="AI30" i="1"/>
  <c r="AI33" i="1"/>
  <c r="Q27" i="1"/>
  <c r="Q30" i="1"/>
  <c r="Q12" i="1" s="1"/>
  <c r="O20" i="1"/>
  <c r="O23" i="1"/>
  <c r="O11" i="1" s="1"/>
  <c r="S51" i="1"/>
  <c r="S15" i="1" s="1"/>
  <c r="S48" i="1"/>
  <c r="AI20" i="1"/>
  <c r="AI23" i="1"/>
  <c r="R34" i="1"/>
  <c r="R37" i="1"/>
  <c r="R13" i="1" s="1"/>
  <c r="R55" i="1"/>
  <c r="R58" i="1"/>
  <c r="R16" i="1" s="1"/>
  <c r="M41" i="1"/>
  <c r="M44" i="1"/>
  <c r="M14" i="1" s="1"/>
  <c r="AI80" i="1" l="1"/>
  <c r="AI83" i="1"/>
  <c r="AJ73" i="1"/>
  <c r="AJ70" i="1"/>
  <c r="AI63" i="1"/>
  <c r="AI60" i="1"/>
  <c r="AI53" i="1"/>
  <c r="AI50" i="1"/>
  <c r="AJ40" i="1"/>
  <c r="AJ43" i="1"/>
  <c r="AH30" i="1"/>
  <c r="AH33" i="1"/>
  <c r="AB36" i="1" s="1"/>
  <c r="R51" i="1"/>
  <c r="R15" i="1" s="1"/>
  <c r="R48" i="1"/>
  <c r="N20" i="1"/>
  <c r="N23" i="1"/>
  <c r="N11" i="1" s="1"/>
  <c r="P30" i="1"/>
  <c r="P12" i="1" s="1"/>
  <c r="P27" i="1"/>
  <c r="AH23" i="1"/>
  <c r="AB26" i="1" s="1"/>
  <c r="AH20" i="1"/>
  <c r="Q34" i="1"/>
  <c r="Q37" i="1"/>
  <c r="Q13" i="1" s="1"/>
  <c r="Q55" i="1"/>
  <c r="Q58" i="1"/>
  <c r="Q16" i="1" s="1"/>
  <c r="L41" i="1"/>
  <c r="L44" i="1"/>
  <c r="L14" i="1" s="1"/>
  <c r="AH83" i="1" l="1"/>
  <c r="AB86" i="1" s="1"/>
  <c r="AH80" i="1"/>
  <c r="AI73" i="1"/>
  <c r="AI70" i="1"/>
  <c r="AH60" i="1"/>
  <c r="AH63" i="1"/>
  <c r="AB66" i="1" s="1"/>
  <c r="AH50" i="1"/>
  <c r="AH53" i="1"/>
  <c r="AB56" i="1" s="1"/>
  <c r="AI40" i="1"/>
  <c r="AI43" i="1"/>
  <c r="AG30" i="1"/>
  <c r="AG33" i="1"/>
  <c r="O27" i="1"/>
  <c r="O30" i="1"/>
  <c r="O12" i="1" s="1"/>
  <c r="M20" i="1"/>
  <c r="M23" i="1"/>
  <c r="M11" i="1" s="1"/>
  <c r="Q48" i="1"/>
  <c r="Q51" i="1"/>
  <c r="Q15" i="1" s="1"/>
  <c r="AG20" i="1"/>
  <c r="AG23" i="1"/>
  <c r="P34" i="1"/>
  <c r="P37" i="1"/>
  <c r="P13" i="1" s="1"/>
  <c r="P58" i="1"/>
  <c r="P16" i="1" s="1"/>
  <c r="P55" i="1"/>
  <c r="K44" i="1"/>
  <c r="K14" i="1" s="1"/>
  <c r="K41" i="1"/>
  <c r="AG80" i="1" l="1"/>
  <c r="AG83" i="1"/>
  <c r="AH73" i="1"/>
  <c r="AB76" i="1" s="1"/>
  <c r="AH70" i="1"/>
  <c r="AG60" i="1"/>
  <c r="AG63" i="1"/>
  <c r="AG50" i="1"/>
  <c r="AG53" i="1"/>
  <c r="AH43" i="1"/>
  <c r="AB46" i="1" s="1"/>
  <c r="AH40" i="1"/>
  <c r="AF30" i="1"/>
  <c r="AF33" i="1"/>
  <c r="N30" i="1"/>
  <c r="N12" i="1" s="1"/>
  <c r="N27" i="1"/>
  <c r="P51" i="1"/>
  <c r="P15" i="1" s="1"/>
  <c r="P48" i="1"/>
  <c r="L20" i="1"/>
  <c r="L23" i="1"/>
  <c r="L11" i="1" s="1"/>
  <c r="AF20" i="1"/>
  <c r="AF23" i="1"/>
  <c r="O34" i="1"/>
  <c r="O37" i="1"/>
  <c r="O13" i="1" s="1"/>
  <c r="O55" i="1"/>
  <c r="O58" i="1"/>
  <c r="O16" i="1" s="1"/>
  <c r="J41" i="1"/>
  <c r="J44" i="1"/>
  <c r="J14" i="1" s="1"/>
  <c r="AF80" i="1" l="1"/>
  <c r="AF83" i="1"/>
  <c r="AG70" i="1"/>
  <c r="AG73" i="1"/>
  <c r="AF63" i="1"/>
  <c r="AF60" i="1"/>
  <c r="AF53" i="1"/>
  <c r="AF50" i="1"/>
  <c r="AG40" i="1"/>
  <c r="AG43" i="1"/>
  <c r="AE30" i="1"/>
  <c r="AE33" i="1"/>
  <c r="K20" i="1"/>
  <c r="K23" i="1"/>
  <c r="K11" i="1" s="1"/>
  <c r="O48" i="1"/>
  <c r="O51" i="1"/>
  <c r="O15" i="1" s="1"/>
  <c r="M27" i="1"/>
  <c r="M30" i="1"/>
  <c r="M12" i="1" s="1"/>
  <c r="AE23" i="1"/>
  <c r="AE20" i="1"/>
  <c r="N34" i="1"/>
  <c r="N37" i="1"/>
  <c r="N13" i="1" s="1"/>
  <c r="N55" i="1"/>
  <c r="N58" i="1"/>
  <c r="N16" i="1" s="1"/>
  <c r="I44" i="1"/>
  <c r="I14" i="1" s="1"/>
  <c r="I41" i="1"/>
  <c r="AE80" i="1" l="1"/>
  <c r="AE83" i="1"/>
  <c r="AF73" i="1"/>
  <c r="AF70" i="1"/>
  <c r="AE63" i="1"/>
  <c r="AE60" i="1"/>
  <c r="AE53" i="1"/>
  <c r="AE50" i="1"/>
  <c r="AF40" i="1"/>
  <c r="AF43" i="1"/>
  <c r="AD30" i="1"/>
  <c r="AD33" i="1"/>
  <c r="L27" i="1"/>
  <c r="L30" i="1"/>
  <c r="L12" i="1" s="1"/>
  <c r="N48" i="1"/>
  <c r="N51" i="1"/>
  <c r="N15" i="1" s="1"/>
  <c r="J20" i="1"/>
  <c r="J23" i="1"/>
  <c r="J11" i="1" s="1"/>
  <c r="AD23" i="1"/>
  <c r="AD20" i="1"/>
  <c r="M34" i="1"/>
  <c r="M37" i="1"/>
  <c r="M13" i="1" s="1"/>
  <c r="M55" i="1"/>
  <c r="M58" i="1"/>
  <c r="M16" i="1" s="1"/>
  <c r="H44" i="1"/>
  <c r="H14" i="1" s="1"/>
  <c r="H41" i="1"/>
  <c r="G44" i="1" s="1"/>
  <c r="G14" i="1" s="1"/>
  <c r="AD80" i="1" l="1"/>
  <c r="AD83" i="1"/>
  <c r="AE70" i="1"/>
  <c r="AE73" i="1"/>
  <c r="AD63" i="1"/>
  <c r="AD60" i="1"/>
  <c r="AD50" i="1"/>
  <c r="AD53" i="1"/>
  <c r="AE40" i="1"/>
  <c r="AE43" i="1"/>
  <c r="AC33" i="1"/>
  <c r="AC30" i="1"/>
  <c r="K30" i="1"/>
  <c r="K12" i="1" s="1"/>
  <c r="K27" i="1"/>
  <c r="I20" i="1"/>
  <c r="I23" i="1"/>
  <c r="I11" i="1" s="1"/>
  <c r="M48" i="1"/>
  <c r="M51" i="1"/>
  <c r="M15" i="1" s="1"/>
  <c r="AC20" i="1"/>
  <c r="AC23" i="1"/>
  <c r="L34" i="1"/>
  <c r="L37" i="1"/>
  <c r="L13" i="1" s="1"/>
  <c r="L55" i="1"/>
  <c r="L58" i="1"/>
  <c r="L16" i="1" s="1"/>
  <c r="AC80" i="1" l="1"/>
  <c r="AC83" i="1"/>
  <c r="AD70" i="1"/>
  <c r="AD73" i="1"/>
  <c r="AC63" i="1"/>
  <c r="AC60" i="1"/>
  <c r="AC53" i="1"/>
  <c r="AC50" i="1"/>
  <c r="AD43" i="1"/>
  <c r="AD40" i="1"/>
  <c r="AB33" i="1"/>
  <c r="AB30" i="1"/>
  <c r="L51" i="1"/>
  <c r="L15" i="1" s="1"/>
  <c r="L48" i="1"/>
  <c r="H20" i="1"/>
  <c r="G23" i="1" s="1"/>
  <c r="G11" i="1" s="1"/>
  <c r="H23" i="1"/>
  <c r="H11" i="1" s="1"/>
  <c r="J30" i="1"/>
  <c r="J12" i="1" s="1"/>
  <c r="J27" i="1"/>
  <c r="AB20" i="1"/>
  <c r="AB23" i="1"/>
  <c r="K34" i="1"/>
  <c r="K37" i="1"/>
  <c r="K13" i="1" s="1"/>
  <c r="K55" i="1"/>
  <c r="K58" i="1"/>
  <c r="K16" i="1" s="1"/>
  <c r="AB80" i="1" l="1"/>
  <c r="AB83" i="1"/>
  <c r="AC70" i="1"/>
  <c r="AC73" i="1"/>
  <c r="AB63" i="1"/>
  <c r="AB60" i="1"/>
  <c r="AB50" i="1"/>
  <c r="AB53" i="1"/>
  <c r="AC43" i="1"/>
  <c r="AC40" i="1"/>
  <c r="AA33" i="1"/>
  <c r="AA30" i="1"/>
  <c r="I27" i="1"/>
  <c r="I30" i="1"/>
  <c r="I12" i="1" s="1"/>
  <c r="K48" i="1"/>
  <c r="K51" i="1"/>
  <c r="K15" i="1" s="1"/>
  <c r="AA20" i="1"/>
  <c r="AA23" i="1"/>
  <c r="J34" i="1"/>
  <c r="J37" i="1"/>
  <c r="J13" i="1" s="1"/>
  <c r="J55" i="1"/>
  <c r="J58" i="1"/>
  <c r="J16" i="1" s="1"/>
  <c r="AA80" i="1" l="1"/>
  <c r="AA83" i="1"/>
  <c r="AB70" i="1"/>
  <c r="AB73" i="1"/>
  <c r="AA63" i="1"/>
  <c r="AA60" i="1"/>
  <c r="AA50" i="1"/>
  <c r="AA53" i="1"/>
  <c r="AB43" i="1"/>
  <c r="AB40" i="1"/>
  <c r="Z30" i="1"/>
  <c r="Z36" i="1" s="1"/>
  <c r="Z33" i="1"/>
  <c r="AJ36" i="1"/>
  <c r="Z20" i="1"/>
  <c r="Z26" i="1" s="1"/>
  <c r="Z23" i="1"/>
  <c r="J51" i="1"/>
  <c r="J15" i="1" s="1"/>
  <c r="J48" i="1"/>
  <c r="H27" i="1"/>
  <c r="G30" i="1" s="1"/>
  <c r="G12" i="1" s="1"/>
  <c r="H30" i="1"/>
  <c r="H12" i="1" s="1"/>
  <c r="I37" i="1"/>
  <c r="I13" i="1" s="1"/>
  <c r="I34" i="1"/>
  <c r="I55" i="1"/>
  <c r="I58" i="1"/>
  <c r="I16" i="1" s="1"/>
  <c r="Z80" i="1" l="1"/>
  <c r="Z86" i="1" s="1"/>
  <c r="Z83" i="1"/>
  <c r="AJ86" i="1"/>
  <c r="AS86" i="1" s="1"/>
  <c r="AA73" i="1"/>
  <c r="AA70" i="1"/>
  <c r="Z60" i="1"/>
  <c r="Z66" i="1" s="1"/>
  <c r="Z63" i="1"/>
  <c r="AJ66" i="1"/>
  <c r="AS66" i="1" s="1"/>
  <c r="Z50" i="1"/>
  <c r="Z56" i="1" s="1"/>
  <c r="AJ56" i="1"/>
  <c r="AS56" i="1" s="1"/>
  <c r="Z53" i="1"/>
  <c r="AA43" i="1"/>
  <c r="AA40" i="1"/>
  <c r="AF36" i="1"/>
  <c r="AH36" i="1"/>
  <c r="AQ32" i="1"/>
  <c r="AJ26" i="1"/>
  <c r="I48" i="1"/>
  <c r="I51" i="1"/>
  <c r="I15" i="1" s="1"/>
  <c r="AF26" i="1"/>
  <c r="AH26" i="1"/>
  <c r="AQ23" i="1" s="1"/>
  <c r="AQ22" i="1"/>
  <c r="H34" i="1"/>
  <c r="G37" i="1" s="1"/>
  <c r="G13" i="1" s="1"/>
  <c r="H37" i="1"/>
  <c r="H13" i="1" s="1"/>
  <c r="H55" i="1"/>
  <c r="G58" i="1" s="1"/>
  <c r="G16" i="1" s="1"/>
  <c r="H58" i="1"/>
  <c r="H16" i="1" s="1"/>
  <c r="AH86" i="1" l="1"/>
  <c r="AF86" i="1"/>
  <c r="AQ82" i="1"/>
  <c r="Z70" i="1"/>
  <c r="Z76" i="1" s="1"/>
  <c r="AJ76" i="1"/>
  <c r="AS76" i="1" s="1"/>
  <c r="Z73" i="1"/>
  <c r="AQ72" i="1" s="1"/>
  <c r="AQ62" i="1"/>
  <c r="AH66" i="1"/>
  <c r="AQ63" i="1" s="1"/>
  <c r="AF66" i="1"/>
  <c r="AH56" i="1"/>
  <c r="AF56" i="1"/>
  <c r="AQ52" i="1"/>
  <c r="Z40" i="1"/>
  <c r="Z46" i="1" s="1"/>
  <c r="Z43" i="1"/>
  <c r="AQ33" i="1"/>
  <c r="H51" i="1"/>
  <c r="H15" i="1" s="1"/>
  <c r="H48" i="1"/>
  <c r="G51" i="1" s="1"/>
  <c r="G15" i="1" s="1"/>
  <c r="AQ83" i="1" l="1"/>
  <c r="AH76" i="1"/>
  <c r="AQ73" i="1" s="1"/>
  <c r="AF76" i="1"/>
  <c r="AQ53" i="1"/>
  <c r="AJ46" i="1"/>
  <c r="AS46" i="1" s="1"/>
  <c r="AH46" i="1"/>
  <c r="AF46" i="1"/>
  <c r="AQ42" i="1"/>
</calcChain>
</file>

<file path=xl/sharedStrings.xml><?xml version="1.0" encoding="utf-8"?>
<sst xmlns="http://schemas.openxmlformats.org/spreadsheetml/2006/main" count="149" uniqueCount="61">
  <si>
    <t xml:space="preserve">A = </t>
  </si>
  <si>
    <t>C=</t>
  </si>
  <si>
    <t>X1</t>
  </si>
  <si>
    <t>X1=</t>
  </si>
  <si>
    <t>X2=</t>
  </si>
  <si>
    <t>X3=</t>
  </si>
  <si>
    <t>X4=</t>
  </si>
  <si>
    <t>X5=</t>
  </si>
  <si>
    <t>X6=</t>
  </si>
  <si>
    <t>X7=</t>
  </si>
  <si>
    <t>X8=</t>
  </si>
  <si>
    <t>X9=</t>
  </si>
  <si>
    <t>X10=</t>
  </si>
  <si>
    <t>X11=</t>
  </si>
  <si>
    <t>X12=</t>
  </si>
  <si>
    <t>A=</t>
  </si>
  <si>
    <t>A + C=</t>
  </si>
  <si>
    <t>A + C + C=</t>
  </si>
  <si>
    <t>C - A=</t>
  </si>
  <si>
    <t>65536 - X4=</t>
  </si>
  <si>
    <t>B1=</t>
  </si>
  <si>
    <t>B2=</t>
  </si>
  <si>
    <t>B3=</t>
  </si>
  <si>
    <t>B4=</t>
  </si>
  <si>
    <t>B5=</t>
  </si>
  <si>
    <t>B6=</t>
  </si>
  <si>
    <t>B7=</t>
  </si>
  <si>
    <t>B8=</t>
  </si>
  <si>
    <t>B9=</t>
  </si>
  <si>
    <t>B10=</t>
  </si>
  <si>
    <t>B11=</t>
  </si>
  <si>
    <t>B12=</t>
  </si>
  <si>
    <t>Инвертируем B1</t>
  </si>
  <si>
    <t>+</t>
  </si>
  <si>
    <t>=</t>
  </si>
  <si>
    <t>Инвертируем B3</t>
  </si>
  <si>
    <t>Инвертируем B2</t>
  </si>
  <si>
    <t>Инвертируем B4</t>
  </si>
  <si>
    <t>Инвертируем B5</t>
  </si>
  <si>
    <t>Инвертируем B6</t>
  </si>
  <si>
    <t>Область допустимых значений
Так как мы применяем дополнительный код, область
Допустимых значений будет в пределах от -2^(n-1) до 2^(n-1)-1, 
где n - число разрядов (бит)
В нашем случае с 16-ю битами это 
от -32768 до 32767</t>
  </si>
  <si>
    <t>B1 + B2</t>
  </si>
  <si>
    <t>CF</t>
  </si>
  <si>
    <t>PF</t>
  </si>
  <si>
    <t>AF</t>
  </si>
  <si>
    <t>ZF</t>
  </si>
  <si>
    <t>SF</t>
  </si>
  <si>
    <t>OF</t>
  </si>
  <si>
    <r>
      <rPr>
        <sz val="8"/>
        <color theme="1"/>
        <rFont val="Aptos Narrow"/>
        <family val="2"/>
        <scheme val="minor"/>
      </rPr>
      <t xml:space="preserve">(2) </t>
    </r>
    <r>
      <rPr>
        <sz val="11"/>
        <color theme="1"/>
        <rFont val="Aptos Narrow"/>
        <family val="2"/>
        <scheme val="minor"/>
      </rPr>
      <t>=</t>
    </r>
    <r>
      <rPr>
        <sz val="8"/>
        <color theme="1"/>
        <rFont val="Aptos Narrow"/>
        <family val="2"/>
        <scheme val="minor"/>
      </rPr>
      <t xml:space="preserve"> </t>
    </r>
  </si>
  <si>
    <t>X2</t>
  </si>
  <si>
    <t>B2 + B3</t>
  </si>
  <si>
    <t>B2 + B7</t>
  </si>
  <si>
    <t>B7 + B8</t>
  </si>
  <si>
    <t>X3</t>
  </si>
  <si>
    <t>X7</t>
  </si>
  <si>
    <t>X8</t>
  </si>
  <si>
    <t>B8 + B9</t>
  </si>
  <si>
    <t>X9</t>
  </si>
  <si>
    <t>B1 + B8</t>
  </si>
  <si>
    <t>B11 + B3</t>
  </si>
  <si>
    <t>X11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</si>
</sst>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083F1-6EB4-4B51-B4AE-4CC2B89B6FF9}">
  <dimension ref="A2:BO86"/>
  <sheetViews>
    <sheetView tabSelected="1" view="pageLayout" zoomScale="83" zoomScaleNormal="100" zoomScaleSheetLayoutView="24" zoomScalePageLayoutView="83" workbookViewId="0">
      <selection activeCell="Y26" sqref="Y26"/>
    </sheetView>
  </sheetViews>
  <sheetFormatPr defaultColWidth="3.265625" defaultRowHeight="14.25" x14ac:dyDescent="0.45"/>
  <cols>
    <col min="2" max="2" width="10.19921875" bestFit="1" customWidth="1"/>
    <col min="3" max="3" width="6.46484375" bestFit="1" customWidth="1"/>
    <col min="5" max="5" width="4.86328125" bestFit="1" customWidth="1"/>
    <col min="6" max="6" width="4.46484375" bestFit="1" customWidth="1"/>
    <col min="7" max="22" width="5" customWidth="1"/>
    <col min="26" max="26" width="3.19921875" bestFit="1" customWidth="1"/>
    <col min="27" max="27" width="1.9296875" bestFit="1" customWidth="1"/>
    <col min="28" max="28" width="3.06640625" bestFit="1" customWidth="1"/>
    <col min="29" max="29" width="1.9296875" bestFit="1" customWidth="1"/>
    <col min="30" max="30" width="3.06640625" bestFit="1" customWidth="1"/>
    <col min="31" max="31" width="1.9296875" bestFit="1" customWidth="1"/>
    <col min="32" max="32" width="2.86328125" customWidth="1"/>
    <col min="33" max="33" width="3.3984375" bestFit="1" customWidth="1"/>
    <col min="34" max="34" width="2.6640625" customWidth="1"/>
    <col min="35" max="35" width="2.33203125" customWidth="1"/>
    <col min="36" max="36" width="2.9296875" bestFit="1" customWidth="1"/>
    <col min="37" max="38" width="3.3984375" bestFit="1" customWidth="1"/>
    <col min="39" max="39" width="3.265625" customWidth="1"/>
    <col min="40" max="40" width="3.06640625" customWidth="1"/>
    <col min="41" max="41" width="2.796875" customWidth="1"/>
    <col min="42" max="42" width="3.86328125" bestFit="1" customWidth="1"/>
    <col min="43" max="43" width="6.59765625" customWidth="1"/>
    <col min="44" max="44" width="3.19921875" customWidth="1"/>
    <col min="48" max="48" width="6.73046875" bestFit="1" customWidth="1"/>
  </cols>
  <sheetData>
    <row r="2" spans="1:33" x14ac:dyDescent="0.45">
      <c r="B2" t="s">
        <v>0</v>
      </c>
      <c r="C2">
        <v>16081</v>
      </c>
    </row>
    <row r="3" spans="1:33" x14ac:dyDescent="0.45">
      <c r="B3" t="s">
        <v>1</v>
      </c>
      <c r="C3">
        <v>16487</v>
      </c>
    </row>
    <row r="4" spans="1:33" x14ac:dyDescent="0.45">
      <c r="G4">
        <v>15</v>
      </c>
      <c r="H4">
        <v>14</v>
      </c>
      <c r="I4">
        <v>13</v>
      </c>
      <c r="J4">
        <v>12</v>
      </c>
      <c r="K4">
        <v>11</v>
      </c>
      <c r="L4">
        <v>10</v>
      </c>
      <c r="M4">
        <v>9</v>
      </c>
      <c r="N4">
        <v>8</v>
      </c>
      <c r="O4">
        <v>7</v>
      </c>
      <c r="P4">
        <v>6</v>
      </c>
      <c r="Q4">
        <v>5</v>
      </c>
      <c r="R4">
        <v>4</v>
      </c>
      <c r="S4">
        <v>3</v>
      </c>
      <c r="T4">
        <v>2</v>
      </c>
      <c r="U4">
        <v>1</v>
      </c>
      <c r="V4">
        <v>0</v>
      </c>
      <c r="Z4" s="5" t="s">
        <v>40</v>
      </c>
      <c r="AA4" s="5"/>
      <c r="AB4" s="5"/>
      <c r="AC4" s="5"/>
      <c r="AD4" s="5"/>
      <c r="AE4" s="5"/>
      <c r="AF4" s="5"/>
      <c r="AG4" s="5"/>
    </row>
    <row r="5" spans="1:33" x14ac:dyDescent="0.45">
      <c r="A5" t="s">
        <v>3</v>
      </c>
      <c r="B5" t="s">
        <v>15</v>
      </c>
      <c r="C5">
        <f>C2</f>
        <v>16081</v>
      </c>
      <c r="E5" t="s">
        <v>20</v>
      </c>
      <c r="G5">
        <f>MOD(QUOTIENT($C5,2^G$4),2)</f>
        <v>0</v>
      </c>
      <c r="H5">
        <f t="shared" ref="H5:V10" si="0">MOD(QUOTIENT($C5,2^H$4),2)</f>
        <v>0</v>
      </c>
      <c r="I5">
        <f t="shared" si="0"/>
        <v>1</v>
      </c>
      <c r="J5">
        <f t="shared" si="0"/>
        <v>1</v>
      </c>
      <c r="K5">
        <f t="shared" si="0"/>
        <v>1</v>
      </c>
      <c r="L5">
        <f t="shared" si="0"/>
        <v>1</v>
      </c>
      <c r="M5">
        <f t="shared" si="0"/>
        <v>1</v>
      </c>
      <c r="N5">
        <f t="shared" si="0"/>
        <v>0</v>
      </c>
      <c r="O5">
        <f t="shared" si="0"/>
        <v>1</v>
      </c>
      <c r="P5">
        <f t="shared" si="0"/>
        <v>1</v>
      </c>
      <c r="Q5">
        <f t="shared" si="0"/>
        <v>0</v>
      </c>
      <c r="R5">
        <f t="shared" si="0"/>
        <v>1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1</v>
      </c>
      <c r="Z5" s="5"/>
      <c r="AA5" s="5"/>
      <c r="AB5" s="5"/>
      <c r="AC5" s="5"/>
      <c r="AD5" s="5"/>
      <c r="AE5" s="5"/>
      <c r="AF5" s="5"/>
      <c r="AG5" s="5"/>
    </row>
    <row r="6" spans="1:33" x14ac:dyDescent="0.45">
      <c r="A6" t="s">
        <v>4</v>
      </c>
      <c r="B6" t="s">
        <v>1</v>
      </c>
      <c r="C6">
        <f>C3</f>
        <v>16487</v>
      </c>
      <c r="E6" t="s">
        <v>21</v>
      </c>
      <c r="G6">
        <f t="shared" ref="G6:G10" si="1">MOD(QUOTIENT($C6,2^G$4),2)</f>
        <v>0</v>
      </c>
      <c r="H6">
        <f t="shared" si="0"/>
        <v>1</v>
      </c>
      <c r="I6">
        <f>MOD(QUOTIENT($C6,2^I$4),2)</f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1</v>
      </c>
      <c r="Q6">
        <f t="shared" si="0"/>
        <v>1</v>
      </c>
      <c r="R6">
        <f t="shared" si="0"/>
        <v>0</v>
      </c>
      <c r="S6">
        <f t="shared" si="0"/>
        <v>0</v>
      </c>
      <c r="T6">
        <f t="shared" si="0"/>
        <v>1</v>
      </c>
      <c r="U6">
        <f t="shared" si="0"/>
        <v>1</v>
      </c>
      <c r="V6">
        <f t="shared" si="0"/>
        <v>1</v>
      </c>
      <c r="Z6" s="5"/>
      <c r="AA6" s="5"/>
      <c r="AB6" s="5"/>
      <c r="AC6" s="5"/>
      <c r="AD6" s="5"/>
      <c r="AE6" s="5"/>
      <c r="AF6" s="5"/>
      <c r="AG6" s="5"/>
    </row>
    <row r="7" spans="1:33" x14ac:dyDescent="0.45">
      <c r="A7" t="s">
        <v>5</v>
      </c>
      <c r="B7" t="s">
        <v>16</v>
      </c>
      <c r="C7">
        <f>C2+C3</f>
        <v>32568</v>
      </c>
      <c r="E7" t="s">
        <v>22</v>
      </c>
      <c r="G7">
        <f t="shared" si="1"/>
        <v>0</v>
      </c>
      <c r="H7">
        <f t="shared" si="0"/>
        <v>1</v>
      </c>
      <c r="I7">
        <f>MOD(QUOTIENT($C7,2^I$4),2)</f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0</v>
      </c>
      <c r="P7">
        <f t="shared" si="0"/>
        <v>0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0</v>
      </c>
      <c r="U7">
        <f t="shared" si="0"/>
        <v>0</v>
      </c>
      <c r="V7">
        <f t="shared" si="0"/>
        <v>0</v>
      </c>
      <c r="Z7" s="5"/>
      <c r="AA7" s="5"/>
      <c r="AB7" s="5"/>
      <c r="AC7" s="5"/>
      <c r="AD7" s="5"/>
      <c r="AE7" s="5"/>
      <c r="AF7" s="5"/>
      <c r="AG7" s="5"/>
    </row>
    <row r="8" spans="1:33" x14ac:dyDescent="0.45">
      <c r="A8" t="s">
        <v>6</v>
      </c>
      <c r="B8" t="s">
        <v>17</v>
      </c>
      <c r="C8">
        <f>C2+C3+C3</f>
        <v>49055</v>
      </c>
      <c r="E8" t="s">
        <v>23</v>
      </c>
      <c r="G8">
        <f t="shared" si="1"/>
        <v>1</v>
      </c>
      <c r="H8">
        <f t="shared" si="0"/>
        <v>0</v>
      </c>
      <c r="I8">
        <f t="shared" si="0"/>
        <v>1</v>
      </c>
      <c r="J8">
        <f t="shared" si="0"/>
        <v>1</v>
      </c>
      <c r="K8">
        <f t="shared" si="0"/>
        <v>1</v>
      </c>
      <c r="L8">
        <f t="shared" si="0"/>
        <v>1</v>
      </c>
      <c r="M8">
        <f t="shared" si="0"/>
        <v>1</v>
      </c>
      <c r="N8">
        <f t="shared" si="0"/>
        <v>1</v>
      </c>
      <c r="O8">
        <f t="shared" si="0"/>
        <v>1</v>
      </c>
      <c r="P8">
        <f t="shared" si="0"/>
        <v>0</v>
      </c>
      <c r="Q8">
        <f t="shared" si="0"/>
        <v>0</v>
      </c>
      <c r="R8">
        <f t="shared" si="0"/>
        <v>1</v>
      </c>
      <c r="S8">
        <f t="shared" si="0"/>
        <v>1</v>
      </c>
      <c r="T8">
        <f t="shared" si="0"/>
        <v>1</v>
      </c>
      <c r="U8">
        <f t="shared" si="0"/>
        <v>1</v>
      </c>
      <c r="V8">
        <f t="shared" si="0"/>
        <v>1</v>
      </c>
      <c r="Z8" s="5"/>
      <c r="AA8" s="5"/>
      <c r="AB8" s="5"/>
      <c r="AC8" s="5"/>
      <c r="AD8" s="5"/>
      <c r="AE8" s="5"/>
      <c r="AF8" s="5"/>
      <c r="AG8" s="5"/>
    </row>
    <row r="9" spans="1:33" x14ac:dyDescent="0.45">
      <c r="A9" t="s">
        <v>7</v>
      </c>
      <c r="B9" t="s">
        <v>18</v>
      </c>
      <c r="C9">
        <f>C3-C2</f>
        <v>406</v>
      </c>
      <c r="E9" t="s">
        <v>24</v>
      </c>
      <c r="G9">
        <f t="shared" si="1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1</v>
      </c>
      <c r="O9">
        <f t="shared" si="0"/>
        <v>1</v>
      </c>
      <c r="P9">
        <f t="shared" si="0"/>
        <v>0</v>
      </c>
      <c r="Q9">
        <f t="shared" si="0"/>
        <v>0</v>
      </c>
      <c r="R9">
        <f t="shared" si="0"/>
        <v>1</v>
      </c>
      <c r="S9">
        <f t="shared" si="0"/>
        <v>0</v>
      </c>
      <c r="T9">
        <f t="shared" si="0"/>
        <v>1</v>
      </c>
      <c r="U9">
        <f t="shared" si="0"/>
        <v>1</v>
      </c>
      <c r="V9">
        <f t="shared" si="0"/>
        <v>0</v>
      </c>
      <c r="Z9" s="5"/>
      <c r="AA9" s="5"/>
      <c r="AB9" s="5"/>
      <c r="AC9" s="5"/>
      <c r="AD9" s="5"/>
      <c r="AE9" s="5"/>
      <c r="AF9" s="5"/>
      <c r="AG9" s="5"/>
    </row>
    <row r="10" spans="1:33" x14ac:dyDescent="0.45">
      <c r="A10" t="s">
        <v>8</v>
      </c>
      <c r="B10" t="s">
        <v>19</v>
      </c>
      <c r="C10">
        <f>65536-C8</f>
        <v>16481</v>
      </c>
      <c r="E10" t="s">
        <v>25</v>
      </c>
      <c r="G10">
        <f t="shared" si="1"/>
        <v>0</v>
      </c>
      <c r="H10">
        <f t="shared" si="0"/>
        <v>1</v>
      </c>
      <c r="I10">
        <f t="shared" si="0"/>
        <v>0</v>
      </c>
      <c r="J10">
        <f t="shared" si="0"/>
        <v>0</v>
      </c>
      <c r="K10">
        <f t="shared" si="0"/>
        <v>0</v>
      </c>
      <c r="L10">
        <f t="shared" si="0"/>
        <v>0</v>
      </c>
      <c r="M10">
        <f t="shared" si="0"/>
        <v>0</v>
      </c>
      <c r="N10">
        <f t="shared" si="0"/>
        <v>0</v>
      </c>
      <c r="O10">
        <f t="shared" si="0"/>
        <v>0</v>
      </c>
      <c r="P10">
        <f>MOD(QUOTIENT($C10,2^P$4),2)</f>
        <v>1</v>
      </c>
      <c r="Q10">
        <f t="shared" si="0"/>
        <v>1</v>
      </c>
      <c r="R10">
        <f t="shared" si="0"/>
        <v>0</v>
      </c>
      <c r="S10">
        <f t="shared" si="0"/>
        <v>0</v>
      </c>
      <c r="T10">
        <f t="shared" si="0"/>
        <v>0</v>
      </c>
      <c r="U10">
        <f t="shared" si="0"/>
        <v>0</v>
      </c>
      <c r="V10">
        <f t="shared" si="0"/>
        <v>1</v>
      </c>
      <c r="Z10" s="5"/>
      <c r="AA10" s="5"/>
      <c r="AB10" s="5"/>
      <c r="AC10" s="5"/>
      <c r="AD10" s="5"/>
      <c r="AE10" s="5"/>
      <c r="AF10" s="5"/>
      <c r="AG10" s="5"/>
    </row>
    <row r="11" spans="1:33" x14ac:dyDescent="0.45">
      <c r="A11" t="s">
        <v>9</v>
      </c>
      <c r="B11" t="str">
        <f>"-X1="</f>
        <v>-X1=</v>
      </c>
      <c r="C11">
        <f t="shared" ref="C11:C16" si="2">-C5</f>
        <v>-16081</v>
      </c>
      <c r="E11" t="s">
        <v>26</v>
      </c>
      <c r="F11" t="str">
        <f>"-B1="</f>
        <v>-B1=</v>
      </c>
      <c r="G11">
        <f t="shared" ref="G11:U11" si="3">G23</f>
        <v>1</v>
      </c>
      <c r="H11">
        <f t="shared" si="3"/>
        <v>1</v>
      </c>
      <c r="I11">
        <f t="shared" si="3"/>
        <v>0</v>
      </c>
      <c r="J11">
        <f t="shared" si="3"/>
        <v>0</v>
      </c>
      <c r="K11">
        <f t="shared" si="3"/>
        <v>0</v>
      </c>
      <c r="L11">
        <f t="shared" si="3"/>
        <v>0</v>
      </c>
      <c r="M11">
        <f t="shared" si="3"/>
        <v>0</v>
      </c>
      <c r="N11">
        <f t="shared" si="3"/>
        <v>1</v>
      </c>
      <c r="O11">
        <f t="shared" si="3"/>
        <v>0</v>
      </c>
      <c r="P11">
        <f t="shared" si="3"/>
        <v>0</v>
      </c>
      <c r="Q11">
        <f t="shared" si="3"/>
        <v>1</v>
      </c>
      <c r="R11">
        <f t="shared" si="3"/>
        <v>0</v>
      </c>
      <c r="S11">
        <f t="shared" si="3"/>
        <v>1</v>
      </c>
      <c r="T11">
        <f t="shared" si="3"/>
        <v>1</v>
      </c>
      <c r="U11">
        <f t="shared" si="3"/>
        <v>1</v>
      </c>
      <c r="V11">
        <f>V23</f>
        <v>1</v>
      </c>
      <c r="Z11" s="5"/>
      <c r="AA11" s="5"/>
      <c r="AB11" s="5"/>
      <c r="AC11" s="5"/>
      <c r="AD11" s="5"/>
      <c r="AE11" s="5"/>
      <c r="AF11" s="5"/>
      <c r="AG11" s="5"/>
    </row>
    <row r="12" spans="1:33" x14ac:dyDescent="0.45">
      <c r="A12" t="s">
        <v>10</v>
      </c>
      <c r="B12" t="str">
        <f>"-X2="</f>
        <v>-X2=</v>
      </c>
      <c r="C12">
        <f t="shared" si="2"/>
        <v>-16487</v>
      </c>
      <c r="E12" t="s">
        <v>27</v>
      </c>
      <c r="F12" t="str">
        <f>"-B2="</f>
        <v>-B2=</v>
      </c>
      <c r="G12">
        <f t="shared" ref="G12:U12" si="4">G30</f>
        <v>1</v>
      </c>
      <c r="H12">
        <f t="shared" si="4"/>
        <v>0</v>
      </c>
      <c r="I12">
        <f t="shared" si="4"/>
        <v>1</v>
      </c>
      <c r="J12">
        <f t="shared" si="4"/>
        <v>1</v>
      </c>
      <c r="K12">
        <f t="shared" si="4"/>
        <v>1</v>
      </c>
      <c r="L12">
        <f t="shared" si="4"/>
        <v>1</v>
      </c>
      <c r="M12">
        <f t="shared" si="4"/>
        <v>1</v>
      </c>
      <c r="N12">
        <f t="shared" si="4"/>
        <v>1</v>
      </c>
      <c r="O12">
        <f t="shared" si="4"/>
        <v>1</v>
      </c>
      <c r="P12">
        <f t="shared" si="4"/>
        <v>0</v>
      </c>
      <c r="Q12">
        <f t="shared" si="4"/>
        <v>0</v>
      </c>
      <c r="R12">
        <f t="shared" si="4"/>
        <v>1</v>
      </c>
      <c r="S12">
        <f t="shared" si="4"/>
        <v>1</v>
      </c>
      <c r="T12">
        <f t="shared" si="4"/>
        <v>0</v>
      </c>
      <c r="U12">
        <f t="shared" si="4"/>
        <v>0</v>
      </c>
      <c r="V12">
        <f>V30</f>
        <v>1</v>
      </c>
      <c r="Z12" s="5"/>
      <c r="AA12" s="5"/>
      <c r="AB12" s="5"/>
      <c r="AC12" s="5"/>
      <c r="AD12" s="5"/>
      <c r="AE12" s="5"/>
      <c r="AF12" s="5"/>
      <c r="AG12" s="5"/>
    </row>
    <row r="13" spans="1:33" x14ac:dyDescent="0.45">
      <c r="A13" t="s">
        <v>11</v>
      </c>
      <c r="B13" t="str">
        <f>"-X3="</f>
        <v>-X3=</v>
      </c>
      <c r="C13">
        <f t="shared" si="2"/>
        <v>-32568</v>
      </c>
      <c r="E13" t="s">
        <v>28</v>
      </c>
      <c r="F13" t="str">
        <f>"-B3="</f>
        <v>-B3=</v>
      </c>
      <c r="G13">
        <f t="shared" ref="G13:U13" si="5">G37</f>
        <v>1</v>
      </c>
      <c r="H13">
        <f t="shared" si="5"/>
        <v>0</v>
      </c>
      <c r="I13">
        <f t="shared" si="5"/>
        <v>0</v>
      </c>
      <c r="J13">
        <f t="shared" si="5"/>
        <v>0</v>
      </c>
      <c r="K13">
        <f t="shared" si="5"/>
        <v>0</v>
      </c>
      <c r="L13">
        <f t="shared" si="5"/>
        <v>0</v>
      </c>
      <c r="M13">
        <f t="shared" si="5"/>
        <v>0</v>
      </c>
      <c r="N13">
        <f t="shared" si="5"/>
        <v>0</v>
      </c>
      <c r="O13">
        <f t="shared" si="5"/>
        <v>1</v>
      </c>
      <c r="P13">
        <f t="shared" si="5"/>
        <v>1</v>
      </c>
      <c r="Q13">
        <f t="shared" si="5"/>
        <v>0</v>
      </c>
      <c r="R13">
        <f t="shared" si="5"/>
        <v>0</v>
      </c>
      <c r="S13">
        <f t="shared" si="5"/>
        <v>1</v>
      </c>
      <c r="T13">
        <f t="shared" si="5"/>
        <v>0</v>
      </c>
      <c r="U13">
        <f t="shared" si="5"/>
        <v>0</v>
      </c>
      <c r="V13">
        <f>V37</f>
        <v>0</v>
      </c>
      <c r="Z13" s="5"/>
      <c r="AA13" s="5"/>
      <c r="AB13" s="5"/>
      <c r="AC13" s="5"/>
      <c r="AD13" s="5"/>
      <c r="AE13" s="5"/>
      <c r="AF13" s="5"/>
      <c r="AG13" s="5"/>
    </row>
    <row r="14" spans="1:33" x14ac:dyDescent="0.45">
      <c r="A14" t="s">
        <v>12</v>
      </c>
      <c r="B14" t="str">
        <f>"-X4="</f>
        <v>-X4=</v>
      </c>
      <c r="C14">
        <f t="shared" si="2"/>
        <v>-49055</v>
      </c>
      <c r="E14" t="s">
        <v>29</v>
      </c>
      <c r="F14" t="str">
        <f>"-B4="</f>
        <v>-B4=</v>
      </c>
      <c r="G14">
        <f t="shared" ref="G14:U14" si="6">G44</f>
        <v>0</v>
      </c>
      <c r="H14">
        <f t="shared" si="6"/>
        <v>1</v>
      </c>
      <c r="I14">
        <f t="shared" si="6"/>
        <v>0</v>
      </c>
      <c r="J14">
        <f t="shared" si="6"/>
        <v>0</v>
      </c>
      <c r="K14">
        <f t="shared" si="6"/>
        <v>0</v>
      </c>
      <c r="L14">
        <f t="shared" si="6"/>
        <v>0</v>
      </c>
      <c r="M14">
        <f t="shared" si="6"/>
        <v>0</v>
      </c>
      <c r="N14">
        <f t="shared" si="6"/>
        <v>0</v>
      </c>
      <c r="O14">
        <f t="shared" si="6"/>
        <v>0</v>
      </c>
      <c r="P14">
        <f t="shared" si="6"/>
        <v>1</v>
      </c>
      <c r="Q14">
        <f t="shared" si="6"/>
        <v>1</v>
      </c>
      <c r="R14">
        <f t="shared" si="6"/>
        <v>0</v>
      </c>
      <c r="S14">
        <f t="shared" si="6"/>
        <v>0</v>
      </c>
      <c r="T14">
        <f t="shared" si="6"/>
        <v>0</v>
      </c>
      <c r="U14">
        <f t="shared" si="6"/>
        <v>0</v>
      </c>
      <c r="V14">
        <f>V44</f>
        <v>1</v>
      </c>
    </row>
    <row r="15" spans="1:33" x14ac:dyDescent="0.45">
      <c r="A15" t="s">
        <v>13</v>
      </c>
      <c r="B15" t="str">
        <f>"-X5="</f>
        <v>-X5=</v>
      </c>
      <c r="C15">
        <f t="shared" si="2"/>
        <v>-406</v>
      </c>
      <c r="E15" t="s">
        <v>30</v>
      </c>
      <c r="F15" t="str">
        <f>"-B5="</f>
        <v>-B5=</v>
      </c>
      <c r="G15">
        <f t="shared" ref="G15:U15" si="7">G51</f>
        <v>1</v>
      </c>
      <c r="H15">
        <f t="shared" si="7"/>
        <v>1</v>
      </c>
      <c r="I15">
        <f t="shared" si="7"/>
        <v>1</v>
      </c>
      <c r="J15">
        <f t="shared" si="7"/>
        <v>1</v>
      </c>
      <c r="K15">
        <f t="shared" si="7"/>
        <v>1</v>
      </c>
      <c r="L15">
        <f t="shared" si="7"/>
        <v>1</v>
      </c>
      <c r="M15">
        <f t="shared" si="7"/>
        <v>1</v>
      </c>
      <c r="N15">
        <f t="shared" si="7"/>
        <v>0</v>
      </c>
      <c r="O15">
        <f t="shared" si="7"/>
        <v>0</v>
      </c>
      <c r="P15">
        <f t="shared" si="7"/>
        <v>1</v>
      </c>
      <c r="Q15">
        <f t="shared" si="7"/>
        <v>1</v>
      </c>
      <c r="R15">
        <f t="shared" si="7"/>
        <v>0</v>
      </c>
      <c r="S15">
        <f t="shared" si="7"/>
        <v>1</v>
      </c>
      <c r="T15">
        <f t="shared" si="7"/>
        <v>0</v>
      </c>
      <c r="U15">
        <f t="shared" si="7"/>
        <v>1</v>
      </c>
      <c r="V15">
        <f>V51</f>
        <v>0</v>
      </c>
    </row>
    <row r="16" spans="1:33" x14ac:dyDescent="0.45">
      <c r="A16" t="s">
        <v>14</v>
      </c>
      <c r="B16" t="str">
        <f>"-X6="</f>
        <v>-X6=</v>
      </c>
      <c r="C16">
        <f t="shared" si="2"/>
        <v>-16481</v>
      </c>
      <c r="E16" t="s">
        <v>31</v>
      </c>
      <c r="F16" t="str">
        <f>"-B6="</f>
        <v>-B6=</v>
      </c>
      <c r="G16">
        <f t="shared" ref="G16:U16" si="8">G58</f>
        <v>1</v>
      </c>
      <c r="H16">
        <f t="shared" si="8"/>
        <v>0</v>
      </c>
      <c r="I16">
        <f t="shared" si="8"/>
        <v>1</v>
      </c>
      <c r="J16">
        <f t="shared" si="8"/>
        <v>1</v>
      </c>
      <c r="K16">
        <f t="shared" si="8"/>
        <v>1</v>
      </c>
      <c r="L16">
        <f t="shared" si="8"/>
        <v>1</v>
      </c>
      <c r="M16">
        <f t="shared" si="8"/>
        <v>1</v>
      </c>
      <c r="N16">
        <f t="shared" si="8"/>
        <v>1</v>
      </c>
      <c r="O16">
        <f t="shared" si="8"/>
        <v>1</v>
      </c>
      <c r="P16">
        <f t="shared" si="8"/>
        <v>0</v>
      </c>
      <c r="Q16">
        <f t="shared" si="8"/>
        <v>0</v>
      </c>
      <c r="R16">
        <f t="shared" si="8"/>
        <v>1</v>
      </c>
      <c r="S16">
        <f t="shared" si="8"/>
        <v>1</v>
      </c>
      <c r="T16">
        <f t="shared" si="8"/>
        <v>1</v>
      </c>
      <c r="U16">
        <f t="shared" si="8"/>
        <v>1</v>
      </c>
      <c r="V16">
        <f>V58</f>
        <v>1</v>
      </c>
    </row>
    <row r="18" spans="6:67" x14ac:dyDescent="0.45">
      <c r="G18" s="6" t="s">
        <v>32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Z18" s="6" t="s">
        <v>41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spans="6:67" x14ac:dyDescent="0.45">
      <c r="G19">
        <f>1-G5</f>
        <v>1</v>
      </c>
      <c r="H19">
        <f t="shared" ref="H19:U19" si="9">1-H5</f>
        <v>1</v>
      </c>
      <c r="I19">
        <f t="shared" si="9"/>
        <v>0</v>
      </c>
      <c r="J19">
        <f t="shared" si="9"/>
        <v>0</v>
      </c>
      <c r="K19">
        <f t="shared" si="9"/>
        <v>0</v>
      </c>
      <c r="L19">
        <f t="shared" si="9"/>
        <v>0</v>
      </c>
      <c r="M19">
        <f t="shared" si="9"/>
        <v>0</v>
      </c>
      <c r="N19">
        <f t="shared" si="9"/>
        <v>1</v>
      </c>
      <c r="O19">
        <f t="shared" si="9"/>
        <v>0</v>
      </c>
      <c r="P19">
        <f t="shared" si="9"/>
        <v>0</v>
      </c>
      <c r="Q19">
        <f t="shared" si="9"/>
        <v>1</v>
      </c>
      <c r="R19">
        <f t="shared" si="9"/>
        <v>0</v>
      </c>
      <c r="S19">
        <f t="shared" si="9"/>
        <v>1</v>
      </c>
      <c r="T19">
        <f t="shared" si="9"/>
        <v>1</v>
      </c>
      <c r="U19">
        <f t="shared" si="9"/>
        <v>1</v>
      </c>
      <c r="V19">
        <f>1-V5</f>
        <v>0</v>
      </c>
      <c r="Z19">
        <f>G5</f>
        <v>0</v>
      </c>
      <c r="AA19">
        <f t="shared" ref="AA19:AO19" si="10">H5</f>
        <v>0</v>
      </c>
      <c r="AB19">
        <f t="shared" si="10"/>
        <v>1</v>
      </c>
      <c r="AC19">
        <f t="shared" si="10"/>
        <v>1</v>
      </c>
      <c r="AD19">
        <f t="shared" si="10"/>
        <v>1</v>
      </c>
      <c r="AE19">
        <f t="shared" si="10"/>
        <v>1</v>
      </c>
      <c r="AF19">
        <f t="shared" si="10"/>
        <v>1</v>
      </c>
      <c r="AG19">
        <f t="shared" si="10"/>
        <v>0</v>
      </c>
      <c r="AH19">
        <f t="shared" si="10"/>
        <v>1</v>
      </c>
      <c r="AI19">
        <f t="shared" si="10"/>
        <v>1</v>
      </c>
      <c r="AJ19">
        <f t="shared" si="10"/>
        <v>0</v>
      </c>
      <c r="AK19">
        <f t="shared" si="10"/>
        <v>1</v>
      </c>
      <c r="AL19">
        <f t="shared" si="10"/>
        <v>0</v>
      </c>
      <c r="AM19">
        <f t="shared" si="10"/>
        <v>0</v>
      </c>
      <c r="AN19">
        <f t="shared" si="10"/>
        <v>0</v>
      </c>
      <c r="AO19">
        <f t="shared" si="10"/>
        <v>1</v>
      </c>
      <c r="AT19" t="s">
        <v>2</v>
      </c>
      <c r="AV19">
        <f>C5</f>
        <v>16081</v>
      </c>
    </row>
    <row r="20" spans="6:67" x14ac:dyDescent="0.45">
      <c r="F20" s="1" t="s">
        <v>33</v>
      </c>
      <c r="H20" s="2">
        <f t="shared" ref="H20:U20" si="11">IF((H19+H21+I20) &gt;= 2,1,0)</f>
        <v>0</v>
      </c>
      <c r="I20" s="2">
        <f t="shared" si="11"/>
        <v>0</v>
      </c>
      <c r="J20" s="2">
        <f t="shared" si="11"/>
        <v>0</v>
      </c>
      <c r="K20" s="2">
        <f t="shared" si="11"/>
        <v>0</v>
      </c>
      <c r="L20" s="2">
        <f t="shared" si="11"/>
        <v>0</v>
      </c>
      <c r="M20" s="2">
        <f t="shared" si="11"/>
        <v>0</v>
      </c>
      <c r="N20" s="2">
        <f t="shared" si="11"/>
        <v>0</v>
      </c>
      <c r="O20" s="2">
        <f t="shared" si="11"/>
        <v>0</v>
      </c>
      <c r="P20" s="2">
        <f t="shared" si="11"/>
        <v>0</v>
      </c>
      <c r="Q20" s="2">
        <f t="shared" si="11"/>
        <v>0</v>
      </c>
      <c r="R20" s="2">
        <f t="shared" si="11"/>
        <v>0</v>
      </c>
      <c r="S20" s="2">
        <f t="shared" si="11"/>
        <v>0</v>
      </c>
      <c r="T20" s="2">
        <f t="shared" si="11"/>
        <v>0</v>
      </c>
      <c r="U20" s="2">
        <f t="shared" si="11"/>
        <v>0</v>
      </c>
      <c r="V20" s="2">
        <f>IF((V19+V21+W20) &gt;= 2,1,0)</f>
        <v>0</v>
      </c>
      <c r="W20" s="2">
        <f>0</f>
        <v>0</v>
      </c>
      <c r="Y20" s="1" t="s">
        <v>33</v>
      </c>
      <c r="Z20" s="2">
        <f t="shared" ref="Z20:AA20" si="12">IF((Z19+Z21+AA20) &gt;= 2,1,0)</f>
        <v>0</v>
      </c>
      <c r="AA20" s="2">
        <f t="shared" si="12"/>
        <v>0</v>
      </c>
      <c r="AB20" s="2">
        <f t="shared" ref="AB20" si="13">IF((AB19+AB21+AC20) &gt;= 2,1,0)</f>
        <v>0</v>
      </c>
      <c r="AC20" s="2">
        <f t="shared" ref="AC20" si="14">IF((AC19+AC21+AD20) &gt;= 2,1,0)</f>
        <v>0</v>
      </c>
      <c r="AD20" s="2">
        <f t="shared" ref="AD20" si="15">IF((AD19+AD21+AE20) &gt;= 2,1,0)</f>
        <v>0</v>
      </c>
      <c r="AE20" s="2">
        <f t="shared" ref="AE20" si="16">IF((AE19+AE21+AF20) &gt;= 2,1,0)</f>
        <v>0</v>
      </c>
      <c r="AF20" s="2">
        <f t="shared" ref="AF20" si="17">IF((AF19+AF21+AG20) &gt;= 2,1,0)</f>
        <v>0</v>
      </c>
      <c r="AG20" s="2">
        <f t="shared" ref="AG20" si="18">IF((AG19+AG21+AH20) &gt;= 2,1,0)</f>
        <v>0</v>
      </c>
      <c r="AH20" s="2">
        <f t="shared" ref="AH20" si="19">IF((AH19+AH21+AI20) &gt;= 2,1,0)</f>
        <v>1</v>
      </c>
      <c r="AI20" s="2">
        <f t="shared" ref="AI20" si="20">IF((AI19+AI21+AJ20) &gt;= 2,1,0)</f>
        <v>1</v>
      </c>
      <c r="AJ20" s="2">
        <f t="shared" ref="AJ20" si="21">IF((AJ19+AJ21+AK20) &gt;= 2,1,0)</f>
        <v>0</v>
      </c>
      <c r="AK20" s="2">
        <f t="shared" ref="AK20" si="22">IF((AK19+AK21+AL20) &gt;= 2,1,0)</f>
        <v>0</v>
      </c>
      <c r="AL20" s="2">
        <f t="shared" ref="AL20" si="23">IF((AL19+AL21+AM20) &gt;= 2,1,0)</f>
        <v>0</v>
      </c>
      <c r="AM20" s="2">
        <f t="shared" ref="AM20" si="24">IF((AM19+AM21+AN20) &gt;= 2,1,0)</f>
        <v>1</v>
      </c>
      <c r="AN20" s="2">
        <f t="shared" ref="AN20" si="25">IF((AN19+AN21+AO20) &gt;= 2,1,0)</f>
        <v>1</v>
      </c>
      <c r="AO20" s="2">
        <f>IF((AO19+AO21+AP20) &gt;= 2,1,0)</f>
        <v>1</v>
      </c>
      <c r="AP20" s="2">
        <f>0</f>
        <v>0</v>
      </c>
      <c r="AT20" t="s">
        <v>33</v>
      </c>
    </row>
    <row r="21" spans="6:67" x14ac:dyDescent="0.45"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Z21">
        <f>G6</f>
        <v>0</v>
      </c>
      <c r="AA21">
        <f t="shared" ref="AA21:AN21" si="26">H6</f>
        <v>1</v>
      </c>
      <c r="AB21">
        <f t="shared" si="26"/>
        <v>0</v>
      </c>
      <c r="AC21">
        <f t="shared" si="26"/>
        <v>0</v>
      </c>
      <c r="AD21">
        <f t="shared" si="26"/>
        <v>0</v>
      </c>
      <c r="AE21">
        <f t="shared" si="26"/>
        <v>0</v>
      </c>
      <c r="AF21">
        <f t="shared" si="26"/>
        <v>0</v>
      </c>
      <c r="AG21">
        <f t="shared" si="26"/>
        <v>0</v>
      </c>
      <c r="AH21">
        <f t="shared" si="26"/>
        <v>0</v>
      </c>
      <c r="AI21">
        <f t="shared" si="26"/>
        <v>1</v>
      </c>
      <c r="AJ21">
        <f t="shared" si="26"/>
        <v>1</v>
      </c>
      <c r="AK21">
        <f t="shared" si="26"/>
        <v>0</v>
      </c>
      <c r="AL21">
        <f t="shared" si="26"/>
        <v>0</v>
      </c>
      <c r="AM21">
        <f t="shared" si="26"/>
        <v>1</v>
      </c>
      <c r="AN21">
        <f t="shared" si="26"/>
        <v>1</v>
      </c>
      <c r="AO21">
        <f>V6</f>
        <v>1</v>
      </c>
      <c r="AT21" t="s">
        <v>49</v>
      </c>
      <c r="AV21">
        <f>C6</f>
        <v>16487</v>
      </c>
    </row>
    <row r="22" spans="6:67" x14ac:dyDescent="0.45">
      <c r="F22" s="1" t="s">
        <v>34</v>
      </c>
      <c r="Y22" s="1" t="s">
        <v>34</v>
      </c>
      <c r="AQ22" s="2">
        <f>AO23*2^0 + AN23*2^1+AM23*2^2+AL23*2^3+AK23*2^4+AJ23*2^5+AI23*2^6+AH23*2^7+AG23*2^8+AF23*2^9+AE23*2^10+AD23*2^11+AC23*2^12+AB23*2^13+AA23*2^14+Z23*2^15</f>
        <v>32568</v>
      </c>
      <c r="AT22" t="s">
        <v>34</v>
      </c>
    </row>
    <row r="23" spans="6:67" x14ac:dyDescent="0.45">
      <c r="G23">
        <f t="shared" ref="G23:U23" si="27">MOD(G19+G21+H20,2)</f>
        <v>1</v>
      </c>
      <c r="H23">
        <f t="shared" si="27"/>
        <v>1</v>
      </c>
      <c r="I23">
        <f t="shared" si="27"/>
        <v>0</v>
      </c>
      <c r="J23">
        <f t="shared" si="27"/>
        <v>0</v>
      </c>
      <c r="K23">
        <f t="shared" si="27"/>
        <v>0</v>
      </c>
      <c r="L23">
        <f t="shared" si="27"/>
        <v>0</v>
      </c>
      <c r="M23">
        <f t="shared" si="27"/>
        <v>0</v>
      </c>
      <c r="N23">
        <f t="shared" si="27"/>
        <v>1</v>
      </c>
      <c r="O23">
        <f t="shared" si="27"/>
        <v>0</v>
      </c>
      <c r="P23">
        <f t="shared" si="27"/>
        <v>0</v>
      </c>
      <c r="Q23">
        <f t="shared" si="27"/>
        <v>1</v>
      </c>
      <c r="R23">
        <f t="shared" si="27"/>
        <v>0</v>
      </c>
      <c r="S23">
        <f t="shared" si="27"/>
        <v>1</v>
      </c>
      <c r="T23">
        <f t="shared" si="27"/>
        <v>1</v>
      </c>
      <c r="U23">
        <f t="shared" si="27"/>
        <v>1</v>
      </c>
      <c r="V23">
        <f>MOD(V19+V21+W20,2)</f>
        <v>1</v>
      </c>
      <c r="Z23">
        <f>MOD(Z19+Z21+AA20,2)</f>
        <v>0</v>
      </c>
      <c r="AA23">
        <f t="shared" ref="AA23:AN23" si="28">MOD(AA19+AA21+AB20,2)</f>
        <v>1</v>
      </c>
      <c r="AB23">
        <f t="shared" si="28"/>
        <v>1</v>
      </c>
      <c r="AC23">
        <f t="shared" si="28"/>
        <v>1</v>
      </c>
      <c r="AD23">
        <f t="shared" si="28"/>
        <v>1</v>
      </c>
      <c r="AE23">
        <f t="shared" si="28"/>
        <v>1</v>
      </c>
      <c r="AF23">
        <f t="shared" si="28"/>
        <v>1</v>
      </c>
      <c r="AG23">
        <f t="shared" si="28"/>
        <v>1</v>
      </c>
      <c r="AH23">
        <f t="shared" si="28"/>
        <v>0</v>
      </c>
      <c r="AI23">
        <f t="shared" si="28"/>
        <v>0</v>
      </c>
      <c r="AJ23">
        <f t="shared" si="28"/>
        <v>1</v>
      </c>
      <c r="AK23">
        <f t="shared" si="28"/>
        <v>1</v>
      </c>
      <c r="AL23">
        <f t="shared" si="28"/>
        <v>1</v>
      </c>
      <c r="AM23">
        <f t="shared" si="28"/>
        <v>0</v>
      </c>
      <c r="AN23">
        <f t="shared" si="28"/>
        <v>0</v>
      </c>
      <c r="AO23">
        <f>MOD(AO19+AO21+AP20,2)</f>
        <v>0</v>
      </c>
      <c r="AP23" s="3" t="s">
        <v>48</v>
      </c>
      <c r="AQ23">
        <f>IF(AH26=1, AQ22-2^16,AQ22)</f>
        <v>32568</v>
      </c>
      <c r="AR23" s="4" t="str">
        <f>"(10)"</f>
        <v>(10)</v>
      </c>
      <c r="AV23">
        <f>AV19+AV21</f>
        <v>32568</v>
      </c>
    </row>
    <row r="25" spans="6:67" x14ac:dyDescent="0.45">
      <c r="G25" s="6" t="s">
        <v>36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Z25" t="s">
        <v>42</v>
      </c>
      <c r="AB25" t="s">
        <v>43</v>
      </c>
      <c r="AD25" t="s">
        <v>44</v>
      </c>
      <c r="AF25" t="s">
        <v>45</v>
      </c>
      <c r="AH25" t="s">
        <v>46</v>
      </c>
      <c r="AJ25" t="s">
        <v>47</v>
      </c>
    </row>
    <row r="26" spans="6:67" x14ac:dyDescent="0.45">
      <c r="G26">
        <f>1-G6</f>
        <v>1</v>
      </c>
      <c r="H26">
        <f t="shared" ref="H26:V26" si="29">1-H6</f>
        <v>0</v>
      </c>
      <c r="I26">
        <f t="shared" si="29"/>
        <v>1</v>
      </c>
      <c r="J26">
        <f t="shared" si="29"/>
        <v>1</v>
      </c>
      <c r="K26">
        <f t="shared" si="29"/>
        <v>1</v>
      </c>
      <c r="L26">
        <f t="shared" si="29"/>
        <v>1</v>
      </c>
      <c r="M26">
        <f t="shared" si="29"/>
        <v>1</v>
      </c>
      <c r="N26">
        <f t="shared" si="29"/>
        <v>1</v>
      </c>
      <c r="O26">
        <f t="shared" si="29"/>
        <v>1</v>
      </c>
      <c r="P26">
        <f t="shared" si="29"/>
        <v>0</v>
      </c>
      <c r="Q26">
        <f t="shared" si="29"/>
        <v>0</v>
      </c>
      <c r="R26">
        <f t="shared" si="29"/>
        <v>1</v>
      </c>
      <c r="S26">
        <f t="shared" si="29"/>
        <v>1</v>
      </c>
      <c r="T26">
        <f t="shared" si="29"/>
        <v>0</v>
      </c>
      <c r="U26">
        <f t="shared" si="29"/>
        <v>0</v>
      </c>
      <c r="V26">
        <f t="shared" si="29"/>
        <v>0</v>
      </c>
      <c r="Z26">
        <f>Z20</f>
        <v>0</v>
      </c>
      <c r="AB26">
        <f>MOD(SUM(AH23:AO23),2)</f>
        <v>1</v>
      </c>
      <c r="AD26">
        <f>AL20</f>
        <v>0</v>
      </c>
      <c r="AF26">
        <f>IF(SUM(Z23:AO23)=0,1,0)</f>
        <v>0</v>
      </c>
      <c r="AH26">
        <f>Z23</f>
        <v>0</v>
      </c>
      <c r="AJ26">
        <f>MOD(AA20+Z20, 2)</f>
        <v>0</v>
      </c>
      <c r="AS26" s="6" t="str">
        <f>IF(AJ26=0,IF(Z26=1,"Результат корректный; Перенос из старшего разряда не учитывается", "Результат корректный"),IF(Z19=0,"При сложении положительных чисел получен отрицательный результат; ПЕРЕПОЛНЕНИЕ!", "При сложении отрицательных чисел получен положительный результат; ПЕРЕПОЛНЕНИЕ!"))</f>
        <v>Результат корректный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</row>
    <row r="27" spans="6:67" x14ac:dyDescent="0.45">
      <c r="F27" s="1" t="s">
        <v>33</v>
      </c>
      <c r="H27" s="2">
        <f t="shared" ref="H27" si="30">IF((H26+H28+I27) &gt;= 2,1,0)</f>
        <v>0</v>
      </c>
      <c r="I27" s="2">
        <f t="shared" ref="I27" si="31">IF((I26+I28+J27) &gt;= 2,1,0)</f>
        <v>0</v>
      </c>
      <c r="J27" s="2">
        <f t="shared" ref="J27" si="32">IF((J26+J28+K27) &gt;= 2,1,0)</f>
        <v>0</v>
      </c>
      <c r="K27" s="2">
        <f t="shared" ref="K27" si="33">IF((K26+K28+L27) &gt;= 2,1,0)</f>
        <v>0</v>
      </c>
      <c r="L27" s="2">
        <f t="shared" ref="L27" si="34">IF((L26+L28+M27) &gt;= 2,1,0)</f>
        <v>0</v>
      </c>
      <c r="M27" s="2">
        <f t="shared" ref="M27" si="35">IF((M26+M28+N27) &gt;= 2,1,0)</f>
        <v>0</v>
      </c>
      <c r="N27" s="2">
        <f t="shared" ref="N27" si="36">IF((N26+N28+O27) &gt;= 2,1,0)</f>
        <v>0</v>
      </c>
      <c r="O27" s="2">
        <f t="shared" ref="O27" si="37">IF((O26+O28+P27) &gt;= 2,1,0)</f>
        <v>0</v>
      </c>
      <c r="P27" s="2">
        <f t="shared" ref="P27" si="38">IF((P26+P28+Q27) &gt;= 2,1,0)</f>
        <v>0</v>
      </c>
      <c r="Q27" s="2">
        <f t="shared" ref="Q27" si="39">IF((Q26+Q28+R27) &gt;= 2,1,0)</f>
        <v>0</v>
      </c>
      <c r="R27" s="2">
        <f t="shared" ref="R27" si="40">IF((R26+R28+S27) &gt;= 2,1,0)</f>
        <v>0</v>
      </c>
      <c r="S27" s="2">
        <f t="shared" ref="S27" si="41">IF((S26+S28+T27) &gt;= 2,1,0)</f>
        <v>0</v>
      </c>
      <c r="T27" s="2">
        <f t="shared" ref="T27" si="42">IF((T26+T28+U27) &gt;= 2,1,0)</f>
        <v>0</v>
      </c>
      <c r="U27" s="2">
        <f t="shared" ref="U27" si="43">IF((U26+U28+V27) &gt;= 2,1,0)</f>
        <v>0</v>
      </c>
      <c r="V27" s="2">
        <f>IF((V26+V28+W27) &gt;= 2,1,0)</f>
        <v>0</v>
      </c>
    </row>
    <row r="28" spans="6:67" x14ac:dyDescent="0.45"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Z28" s="6" t="s">
        <v>50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spans="6:67" x14ac:dyDescent="0.45">
      <c r="F29" s="1" t="s">
        <v>34</v>
      </c>
      <c r="Z29">
        <f>G6</f>
        <v>0</v>
      </c>
      <c r="AA29">
        <f t="shared" ref="AA29:AO29" si="44">H6</f>
        <v>1</v>
      </c>
      <c r="AB29">
        <f t="shared" si="44"/>
        <v>0</v>
      </c>
      <c r="AC29">
        <f t="shared" si="44"/>
        <v>0</v>
      </c>
      <c r="AD29">
        <f t="shared" si="44"/>
        <v>0</v>
      </c>
      <c r="AE29">
        <f t="shared" si="44"/>
        <v>0</v>
      </c>
      <c r="AF29">
        <f t="shared" si="44"/>
        <v>0</v>
      </c>
      <c r="AG29">
        <f t="shared" si="44"/>
        <v>0</v>
      </c>
      <c r="AH29">
        <f t="shared" si="44"/>
        <v>0</v>
      </c>
      <c r="AI29">
        <f t="shared" si="44"/>
        <v>1</v>
      </c>
      <c r="AJ29">
        <f t="shared" si="44"/>
        <v>1</v>
      </c>
      <c r="AK29">
        <f t="shared" si="44"/>
        <v>0</v>
      </c>
      <c r="AL29">
        <f t="shared" si="44"/>
        <v>0</v>
      </c>
      <c r="AM29">
        <f t="shared" si="44"/>
        <v>1</v>
      </c>
      <c r="AN29">
        <f t="shared" si="44"/>
        <v>1</v>
      </c>
      <c r="AO29">
        <f t="shared" si="44"/>
        <v>1</v>
      </c>
      <c r="AT29" t="s">
        <v>49</v>
      </c>
      <c r="AV29">
        <f>C6</f>
        <v>16487</v>
      </c>
    </row>
    <row r="30" spans="6:67" x14ac:dyDescent="0.45">
      <c r="G30">
        <f>MOD(G26+G28+H27,2)</f>
        <v>1</v>
      </c>
      <c r="H30">
        <f t="shared" ref="H30:U30" si="45">MOD(H26+H28+I27,2)</f>
        <v>0</v>
      </c>
      <c r="I30">
        <f t="shared" si="45"/>
        <v>1</v>
      </c>
      <c r="J30">
        <f t="shared" si="45"/>
        <v>1</v>
      </c>
      <c r="K30">
        <f t="shared" si="45"/>
        <v>1</v>
      </c>
      <c r="L30">
        <f t="shared" si="45"/>
        <v>1</v>
      </c>
      <c r="M30">
        <f t="shared" si="45"/>
        <v>1</v>
      </c>
      <c r="N30">
        <f t="shared" si="45"/>
        <v>1</v>
      </c>
      <c r="O30">
        <f t="shared" si="45"/>
        <v>1</v>
      </c>
      <c r="P30">
        <f t="shared" si="45"/>
        <v>0</v>
      </c>
      <c r="Q30">
        <f t="shared" si="45"/>
        <v>0</v>
      </c>
      <c r="R30">
        <f t="shared" si="45"/>
        <v>1</v>
      </c>
      <c r="S30">
        <f t="shared" si="45"/>
        <v>1</v>
      </c>
      <c r="T30">
        <f t="shared" si="45"/>
        <v>0</v>
      </c>
      <c r="U30">
        <f t="shared" si="45"/>
        <v>0</v>
      </c>
      <c r="V30">
        <f>MOD(V26+V28+W27,2)</f>
        <v>1</v>
      </c>
      <c r="Y30" s="1" t="s">
        <v>33</v>
      </c>
      <c r="Z30" s="2">
        <f t="shared" ref="Z30" si="46">IF((Z29+Z31+AA30) &gt;= 2,1,0)</f>
        <v>0</v>
      </c>
      <c r="AA30" s="2">
        <f t="shared" ref="AA30" si="47">IF((AA29+AA31+AB30) &gt;= 2,1,0)</f>
        <v>1</v>
      </c>
      <c r="AB30" s="2">
        <f t="shared" ref="AB30" si="48">IF((AB29+AB31+AC30) &gt;= 2,1,0)</f>
        <v>0</v>
      </c>
      <c r="AC30" s="2">
        <f t="shared" ref="AC30" si="49">IF((AC29+AC31+AD30) &gt;= 2,1,0)</f>
        <v>0</v>
      </c>
      <c r="AD30" s="2">
        <f t="shared" ref="AD30" si="50">IF((AD29+AD31+AE30) &gt;= 2,1,0)</f>
        <v>0</v>
      </c>
      <c r="AE30" s="2">
        <f t="shared" ref="AE30" si="51">IF((AE29+AE31+AF30) &gt;= 2,1,0)</f>
        <v>0</v>
      </c>
      <c r="AF30" s="2">
        <f t="shared" ref="AF30" si="52">IF((AF29+AF31+AG30) &gt;= 2,1,0)</f>
        <v>0</v>
      </c>
      <c r="AG30" s="2">
        <f t="shared" ref="AG30" si="53">IF((AG29+AG31+AH30) &gt;= 2,1,0)</f>
        <v>0</v>
      </c>
      <c r="AH30" s="2">
        <f t="shared" ref="AH30" si="54">IF((AH29+AH31+AI30) &gt;= 2,1,0)</f>
        <v>0</v>
      </c>
      <c r="AI30" s="2">
        <f t="shared" ref="AI30" si="55">IF((AI29+AI31+AJ30) &gt;= 2,1,0)</f>
        <v>1</v>
      </c>
      <c r="AJ30" s="2">
        <f t="shared" ref="AJ30" si="56">IF((AJ29+AJ31+AK30) &gt;= 2,1,0)</f>
        <v>1</v>
      </c>
      <c r="AK30" s="2">
        <f t="shared" ref="AK30" si="57">IF((AK29+AK31+AL30) &gt;= 2,1,0)</f>
        <v>0</v>
      </c>
      <c r="AL30" s="2">
        <f t="shared" ref="AL30" si="58">IF((AL29+AL31+AM30) &gt;= 2,1,0)</f>
        <v>0</v>
      </c>
      <c r="AM30" s="2">
        <f t="shared" ref="AM30" si="59">IF((AM29+AM31+AN30) &gt;= 2,1,0)</f>
        <v>0</v>
      </c>
      <c r="AN30" s="2">
        <f t="shared" ref="AN30" si="60">IF((AN29+AN31+AO30) &gt;= 2,1,0)</f>
        <v>0</v>
      </c>
      <c r="AO30" s="2">
        <f>IF((AO29+AO31+AP30) &gt;= 2,1,0)</f>
        <v>0</v>
      </c>
      <c r="AP30" s="2">
        <f>0</f>
        <v>0</v>
      </c>
      <c r="AT30" t="s">
        <v>33</v>
      </c>
    </row>
    <row r="31" spans="6:67" x14ac:dyDescent="0.45">
      <c r="Z31">
        <f>G7</f>
        <v>0</v>
      </c>
      <c r="AA31">
        <f t="shared" ref="AA31:AO31" si="61">H7</f>
        <v>1</v>
      </c>
      <c r="AB31">
        <f t="shared" si="61"/>
        <v>1</v>
      </c>
      <c r="AC31">
        <f t="shared" si="61"/>
        <v>1</v>
      </c>
      <c r="AD31">
        <f t="shared" si="61"/>
        <v>1</v>
      </c>
      <c r="AE31">
        <f t="shared" si="61"/>
        <v>1</v>
      </c>
      <c r="AF31">
        <f t="shared" si="61"/>
        <v>1</v>
      </c>
      <c r="AG31">
        <f t="shared" si="61"/>
        <v>1</v>
      </c>
      <c r="AH31">
        <f t="shared" si="61"/>
        <v>0</v>
      </c>
      <c r="AI31">
        <f t="shared" si="61"/>
        <v>0</v>
      </c>
      <c r="AJ31">
        <f t="shared" si="61"/>
        <v>1</v>
      </c>
      <c r="AK31">
        <f t="shared" si="61"/>
        <v>1</v>
      </c>
      <c r="AL31">
        <f t="shared" si="61"/>
        <v>1</v>
      </c>
      <c r="AM31">
        <f t="shared" si="61"/>
        <v>0</v>
      </c>
      <c r="AN31">
        <f t="shared" si="61"/>
        <v>0</v>
      </c>
      <c r="AO31">
        <f t="shared" si="61"/>
        <v>0</v>
      </c>
      <c r="AT31" t="s">
        <v>53</v>
      </c>
      <c r="AV31">
        <f>C7</f>
        <v>32568</v>
      </c>
    </row>
    <row r="32" spans="6:67" x14ac:dyDescent="0.45">
      <c r="G32" s="6" t="s">
        <v>35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Y32" s="1" t="s">
        <v>34</v>
      </c>
      <c r="AQ32" s="2">
        <f>AO33*2^0 + AN33*2^1+AM33*2^2+AL33*2^3+AK33*2^4+AJ33*2^5+AI33*2^6+AH33*2^7+AG33*2^8+AF33*2^9+AE33*2^10+AD33*2^11+AC33*2^12+AB33*2^13+AA33*2^14+Z33*2^15</f>
        <v>49055</v>
      </c>
      <c r="AT32" t="s">
        <v>34</v>
      </c>
    </row>
    <row r="33" spans="6:67" x14ac:dyDescent="0.45">
      <c r="G33">
        <f>1-G7</f>
        <v>1</v>
      </c>
      <c r="H33">
        <f t="shared" ref="H33:V33" si="62">1-H7</f>
        <v>0</v>
      </c>
      <c r="I33">
        <f t="shared" si="62"/>
        <v>0</v>
      </c>
      <c r="J33">
        <f t="shared" si="62"/>
        <v>0</v>
      </c>
      <c r="K33">
        <f t="shared" si="62"/>
        <v>0</v>
      </c>
      <c r="L33">
        <f t="shared" si="62"/>
        <v>0</v>
      </c>
      <c r="M33">
        <f t="shared" si="62"/>
        <v>0</v>
      </c>
      <c r="N33">
        <f t="shared" si="62"/>
        <v>0</v>
      </c>
      <c r="O33">
        <f t="shared" si="62"/>
        <v>1</v>
      </c>
      <c r="P33">
        <f t="shared" si="62"/>
        <v>1</v>
      </c>
      <c r="Q33">
        <f t="shared" si="62"/>
        <v>0</v>
      </c>
      <c r="R33">
        <f t="shared" si="62"/>
        <v>0</v>
      </c>
      <c r="S33">
        <f t="shared" si="62"/>
        <v>0</v>
      </c>
      <c r="T33">
        <f t="shared" si="62"/>
        <v>1</v>
      </c>
      <c r="U33">
        <f t="shared" si="62"/>
        <v>1</v>
      </c>
      <c r="V33">
        <f t="shared" si="62"/>
        <v>1</v>
      </c>
      <c r="Z33">
        <f>MOD(Z29+Z31+AA30,2)</f>
        <v>1</v>
      </c>
      <c r="AA33">
        <f t="shared" ref="AA33" si="63">MOD(AA29+AA31+AB30,2)</f>
        <v>0</v>
      </c>
      <c r="AB33">
        <f t="shared" ref="AB33" si="64">MOD(AB29+AB31+AC30,2)</f>
        <v>1</v>
      </c>
      <c r="AC33">
        <f t="shared" ref="AC33" si="65">MOD(AC29+AC31+AD30,2)</f>
        <v>1</v>
      </c>
      <c r="AD33">
        <f t="shared" ref="AD33" si="66">MOD(AD29+AD31+AE30,2)</f>
        <v>1</v>
      </c>
      <c r="AE33">
        <f t="shared" ref="AE33" si="67">MOD(AE29+AE31+AF30,2)</f>
        <v>1</v>
      </c>
      <c r="AF33">
        <f t="shared" ref="AF33" si="68">MOD(AF29+AF31+AG30,2)</f>
        <v>1</v>
      </c>
      <c r="AG33">
        <f t="shared" ref="AG33" si="69">MOD(AG29+AG31+AH30,2)</f>
        <v>1</v>
      </c>
      <c r="AH33">
        <f t="shared" ref="AH33" si="70">MOD(AH29+AH31+AI30,2)</f>
        <v>1</v>
      </c>
      <c r="AI33">
        <f t="shared" ref="AI33" si="71">MOD(AI29+AI31+AJ30,2)</f>
        <v>0</v>
      </c>
      <c r="AJ33">
        <f t="shared" ref="AJ33" si="72">MOD(AJ29+AJ31+AK30,2)</f>
        <v>0</v>
      </c>
      <c r="AK33">
        <f t="shared" ref="AK33" si="73">MOD(AK29+AK31+AL30,2)</f>
        <v>1</v>
      </c>
      <c r="AL33">
        <f t="shared" ref="AL33" si="74">MOD(AL29+AL31+AM30,2)</f>
        <v>1</v>
      </c>
      <c r="AM33">
        <f t="shared" ref="AM33" si="75">MOD(AM29+AM31+AN30,2)</f>
        <v>1</v>
      </c>
      <c r="AN33">
        <f t="shared" ref="AN33" si="76">MOD(AN29+AN31+AO30,2)</f>
        <v>1</v>
      </c>
      <c r="AO33">
        <f>MOD(AO29+AO31+AP30,2)</f>
        <v>1</v>
      </c>
      <c r="AP33" s="3" t="s">
        <v>48</v>
      </c>
      <c r="AQ33">
        <f>IF(AH36=1, AQ32-2^16,AQ32)</f>
        <v>-16481</v>
      </c>
      <c r="AR33" s="4" t="str">
        <f>"(10)"</f>
        <v>(10)</v>
      </c>
      <c r="AV33">
        <f>AV29+AV31</f>
        <v>49055</v>
      </c>
    </row>
    <row r="34" spans="6:67" x14ac:dyDescent="0.45">
      <c r="F34" s="1" t="s">
        <v>33</v>
      </c>
      <c r="H34" s="2">
        <f t="shared" ref="H34" si="77">IF((H33+H35+I34) &gt;= 2,1,0)</f>
        <v>0</v>
      </c>
      <c r="I34" s="2">
        <f t="shared" ref="I34" si="78">IF((I33+I35+J34) &gt;= 2,1,0)</f>
        <v>0</v>
      </c>
      <c r="J34" s="2">
        <f t="shared" ref="J34" si="79">IF((J33+J35+K34) &gt;= 2,1,0)</f>
        <v>0</v>
      </c>
      <c r="K34" s="2">
        <f t="shared" ref="K34" si="80">IF((K33+K35+L34) &gt;= 2,1,0)</f>
        <v>0</v>
      </c>
      <c r="L34" s="2">
        <f t="shared" ref="L34" si="81">IF((L33+L35+M34) &gt;= 2,1,0)</f>
        <v>0</v>
      </c>
      <c r="M34" s="2">
        <f t="shared" ref="M34" si="82">IF((M33+M35+N34) &gt;= 2,1,0)</f>
        <v>0</v>
      </c>
      <c r="N34" s="2">
        <f t="shared" ref="N34" si="83">IF((N33+N35+O34) &gt;= 2,1,0)</f>
        <v>0</v>
      </c>
      <c r="O34" s="2">
        <f t="shared" ref="O34" si="84">IF((O33+O35+P34) &gt;= 2,1,0)</f>
        <v>0</v>
      </c>
      <c r="P34" s="2">
        <f t="shared" ref="P34" si="85">IF((P33+P35+Q34) &gt;= 2,1,0)</f>
        <v>0</v>
      </c>
      <c r="Q34" s="2">
        <f t="shared" ref="Q34" si="86">IF((Q33+Q35+R34) &gt;= 2,1,0)</f>
        <v>0</v>
      </c>
      <c r="R34" s="2">
        <f t="shared" ref="R34" si="87">IF((R33+R35+S34) &gt;= 2,1,0)</f>
        <v>0</v>
      </c>
      <c r="S34" s="2">
        <f t="shared" ref="S34" si="88">IF((S33+S35+T34) &gt;= 2,1,0)</f>
        <v>0</v>
      </c>
      <c r="T34" s="2">
        <f t="shared" ref="T34" si="89">IF((T33+T35+U34) &gt;= 2,1,0)</f>
        <v>1</v>
      </c>
      <c r="U34" s="2">
        <f t="shared" ref="U34" si="90">IF((U33+U35+V34) &gt;= 2,1,0)</f>
        <v>1</v>
      </c>
      <c r="V34" s="2">
        <f>IF((V33+V35+W34) &gt;= 2,1,0)</f>
        <v>1</v>
      </c>
    </row>
    <row r="35" spans="6:67" x14ac:dyDescent="0.45"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Z35" t="s">
        <v>42</v>
      </c>
      <c r="AB35" t="s">
        <v>43</v>
      </c>
      <c r="AD35" t="s">
        <v>44</v>
      </c>
      <c r="AF35" t="s">
        <v>45</v>
      </c>
      <c r="AH35" t="s">
        <v>46</v>
      </c>
      <c r="AJ35" t="s">
        <v>47</v>
      </c>
    </row>
    <row r="36" spans="6:67" x14ac:dyDescent="0.45">
      <c r="F36" s="1" t="s">
        <v>34</v>
      </c>
      <c r="Z36">
        <f>Z30</f>
        <v>0</v>
      </c>
      <c r="AB36">
        <f>MOD(SUM(AH33:AO33),2)</f>
        <v>0</v>
      </c>
      <c r="AD36">
        <f>AL30</f>
        <v>0</v>
      </c>
      <c r="AF36">
        <f>IF(SUM(Z33:AO33)=0,1,0)</f>
        <v>0</v>
      </c>
      <c r="AH36">
        <f>Z33</f>
        <v>1</v>
      </c>
      <c r="AJ36">
        <f>MOD(AA30+Z30, 2)</f>
        <v>1</v>
      </c>
      <c r="AS36" s="7" t="str">
        <f>IF(AJ36=0,IF(Z36=1,"Результат корректный; Перенос из старшего разряда не учитывается", "Результат корректный"),IF(Z29=0,"При сложении положительных чисел получен отрицательный результат; ПЕРЕПОЛНЕНИЕ!", "При сложении отрицательных чисел получен положительный результат; ПЕРЕПОЛНЕНИЕ!"))</f>
        <v>При сложении положительных чисел получен отрицательный результат; ПЕРЕПОЛНЕНИЕ!</v>
      </c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</row>
    <row r="37" spans="6:67" x14ac:dyDescent="0.45">
      <c r="G37">
        <f t="shared" ref="G37:U37" si="91">MOD(G33+G35+H34,2)</f>
        <v>1</v>
      </c>
      <c r="H37">
        <f t="shared" si="91"/>
        <v>0</v>
      </c>
      <c r="I37">
        <f t="shared" si="91"/>
        <v>0</v>
      </c>
      <c r="J37">
        <f t="shared" si="91"/>
        <v>0</v>
      </c>
      <c r="K37">
        <f t="shared" si="91"/>
        <v>0</v>
      </c>
      <c r="L37">
        <f t="shared" si="91"/>
        <v>0</v>
      </c>
      <c r="M37">
        <f t="shared" si="91"/>
        <v>0</v>
      </c>
      <c r="N37">
        <f t="shared" si="91"/>
        <v>0</v>
      </c>
      <c r="O37">
        <f t="shared" si="91"/>
        <v>1</v>
      </c>
      <c r="P37">
        <f t="shared" si="91"/>
        <v>1</v>
      </c>
      <c r="Q37">
        <f t="shared" si="91"/>
        <v>0</v>
      </c>
      <c r="R37">
        <f t="shared" si="91"/>
        <v>0</v>
      </c>
      <c r="S37">
        <f t="shared" si="91"/>
        <v>1</v>
      </c>
      <c r="T37">
        <f t="shared" si="91"/>
        <v>0</v>
      </c>
      <c r="U37">
        <f t="shared" si="91"/>
        <v>0</v>
      </c>
      <c r="V37">
        <f>MOD(V33+V35+W34,2)</f>
        <v>0</v>
      </c>
    </row>
    <row r="38" spans="6:67" x14ac:dyDescent="0.45">
      <c r="Z38" s="6" t="s">
        <v>51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spans="6:67" x14ac:dyDescent="0.45">
      <c r="G39" s="6" t="s">
        <v>37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Z39">
        <f>G6</f>
        <v>0</v>
      </c>
      <c r="AA39">
        <f t="shared" ref="AA39:AO39" si="92">H6</f>
        <v>1</v>
      </c>
      <c r="AB39">
        <f t="shared" si="92"/>
        <v>0</v>
      </c>
      <c r="AC39">
        <f t="shared" si="92"/>
        <v>0</v>
      </c>
      <c r="AD39">
        <f t="shared" si="92"/>
        <v>0</v>
      </c>
      <c r="AE39">
        <f t="shared" si="92"/>
        <v>0</v>
      </c>
      <c r="AF39">
        <f t="shared" si="92"/>
        <v>0</v>
      </c>
      <c r="AG39">
        <f t="shared" si="92"/>
        <v>0</v>
      </c>
      <c r="AH39">
        <f t="shared" si="92"/>
        <v>0</v>
      </c>
      <c r="AI39">
        <f t="shared" si="92"/>
        <v>1</v>
      </c>
      <c r="AJ39">
        <f t="shared" si="92"/>
        <v>1</v>
      </c>
      <c r="AK39">
        <f t="shared" si="92"/>
        <v>0</v>
      </c>
      <c r="AL39">
        <f t="shared" si="92"/>
        <v>0</v>
      </c>
      <c r="AM39">
        <f t="shared" si="92"/>
        <v>1</v>
      </c>
      <c r="AN39">
        <f t="shared" si="92"/>
        <v>1</v>
      </c>
      <c r="AO39">
        <f t="shared" si="92"/>
        <v>1</v>
      </c>
      <c r="AT39" t="s">
        <v>49</v>
      </c>
      <c r="AV39">
        <f>C6</f>
        <v>16487</v>
      </c>
    </row>
    <row r="40" spans="6:67" x14ac:dyDescent="0.45">
      <c r="G40">
        <f>1-G8</f>
        <v>0</v>
      </c>
      <c r="H40">
        <f t="shared" ref="H40:V40" si="93">1-H8</f>
        <v>1</v>
      </c>
      <c r="I40">
        <f t="shared" si="93"/>
        <v>0</v>
      </c>
      <c r="J40">
        <f t="shared" si="93"/>
        <v>0</v>
      </c>
      <c r="K40">
        <f t="shared" si="93"/>
        <v>0</v>
      </c>
      <c r="L40">
        <f t="shared" si="93"/>
        <v>0</v>
      </c>
      <c r="M40">
        <f t="shared" si="93"/>
        <v>0</v>
      </c>
      <c r="N40">
        <f t="shared" si="93"/>
        <v>0</v>
      </c>
      <c r="O40">
        <f t="shared" si="93"/>
        <v>0</v>
      </c>
      <c r="P40">
        <f t="shared" si="93"/>
        <v>1</v>
      </c>
      <c r="Q40">
        <f t="shared" si="93"/>
        <v>1</v>
      </c>
      <c r="R40">
        <f t="shared" si="93"/>
        <v>0</v>
      </c>
      <c r="S40">
        <f t="shared" si="93"/>
        <v>0</v>
      </c>
      <c r="T40">
        <f t="shared" si="93"/>
        <v>0</v>
      </c>
      <c r="U40">
        <f t="shared" si="93"/>
        <v>0</v>
      </c>
      <c r="V40">
        <f t="shared" si="93"/>
        <v>0</v>
      </c>
      <c r="Y40" s="1" t="s">
        <v>33</v>
      </c>
      <c r="Z40" s="2">
        <f t="shared" ref="Z40" si="94">IF((Z39+Z41+AA40) &gt;= 2,1,0)</f>
        <v>1</v>
      </c>
      <c r="AA40" s="2">
        <f t="shared" ref="AA40" si="95">IF((AA39+AA41+AB40) &gt;= 2,1,0)</f>
        <v>1</v>
      </c>
      <c r="AB40" s="2">
        <f t="shared" ref="AB40" si="96">IF((AB39+AB41+AC40) &gt;= 2,1,0)</f>
        <v>0</v>
      </c>
      <c r="AC40" s="2">
        <f t="shared" ref="AC40" si="97">IF((AC39+AC41+AD40) &gt;= 2,1,0)</f>
        <v>0</v>
      </c>
      <c r="AD40" s="2">
        <f t="shared" ref="AD40" si="98">IF((AD39+AD41+AE40) &gt;= 2,1,0)</f>
        <v>0</v>
      </c>
      <c r="AE40" s="2">
        <f t="shared" ref="AE40" si="99">IF((AE39+AE41+AF40) &gt;= 2,1,0)</f>
        <v>0</v>
      </c>
      <c r="AF40" s="2">
        <f t="shared" ref="AF40" si="100">IF((AF39+AF41+AG40) &gt;= 2,1,0)</f>
        <v>0</v>
      </c>
      <c r="AG40" s="2">
        <f t="shared" ref="AG40" si="101">IF((AG39+AG41+AH40) &gt;= 2,1,0)</f>
        <v>0</v>
      </c>
      <c r="AH40" s="2">
        <f t="shared" ref="AH40" si="102">IF((AH39+AH41+AI40) &gt;= 2,1,0)</f>
        <v>0</v>
      </c>
      <c r="AI40" s="2">
        <f t="shared" ref="AI40" si="103">IF((AI39+AI41+AJ40) &gt;= 2,1,0)</f>
        <v>1</v>
      </c>
      <c r="AJ40" s="2">
        <f t="shared" ref="AJ40" si="104">IF((AJ39+AJ41+AK40) &gt;= 2,1,0)</f>
        <v>1</v>
      </c>
      <c r="AK40" s="2">
        <f t="shared" ref="AK40" si="105">IF((AK39+AK41+AL40) &gt;= 2,1,0)</f>
        <v>0</v>
      </c>
      <c r="AL40" s="2">
        <f t="shared" ref="AL40" si="106">IF((AL39+AL41+AM40) &gt;= 2,1,0)</f>
        <v>1</v>
      </c>
      <c r="AM40" s="2">
        <f t="shared" ref="AM40" si="107">IF((AM39+AM41+AN40) &gt;= 2,1,0)</f>
        <v>1</v>
      </c>
      <c r="AN40" s="2">
        <f t="shared" ref="AN40" si="108">IF((AN39+AN41+AO40) &gt;= 2,1,0)</f>
        <v>1</v>
      </c>
      <c r="AO40" s="2">
        <f>IF((AO39+AO41+AP40) &gt;= 2,1,0)</f>
        <v>1</v>
      </c>
      <c r="AP40" s="2">
        <f>0</f>
        <v>0</v>
      </c>
      <c r="AT40" t="s">
        <v>33</v>
      </c>
    </row>
    <row r="41" spans="6:67" x14ac:dyDescent="0.45">
      <c r="F41" s="1" t="s">
        <v>33</v>
      </c>
      <c r="H41" s="2">
        <f t="shared" ref="H41" si="109">IF((H40+H42+I41) &gt;= 2,1,0)</f>
        <v>0</v>
      </c>
      <c r="I41" s="2">
        <f t="shared" ref="I41" si="110">IF((I40+I42+J41) &gt;= 2,1,0)</f>
        <v>0</v>
      </c>
      <c r="J41" s="2">
        <f t="shared" ref="J41" si="111">IF((J40+J42+K41) &gt;= 2,1,0)</f>
        <v>0</v>
      </c>
      <c r="K41" s="2">
        <f t="shared" ref="K41" si="112">IF((K40+K42+L41) &gt;= 2,1,0)</f>
        <v>0</v>
      </c>
      <c r="L41" s="2">
        <f t="shared" ref="L41" si="113">IF((L40+L42+M41) &gt;= 2,1,0)</f>
        <v>0</v>
      </c>
      <c r="M41" s="2">
        <f t="shared" ref="M41" si="114">IF((M40+M42+N41) &gt;= 2,1,0)</f>
        <v>0</v>
      </c>
      <c r="N41" s="2">
        <f t="shared" ref="N41" si="115">IF((N40+N42+O41) &gt;= 2,1,0)</f>
        <v>0</v>
      </c>
      <c r="O41" s="2">
        <f t="shared" ref="O41" si="116">IF((O40+O42+P41) &gt;= 2,1,0)</f>
        <v>0</v>
      </c>
      <c r="P41" s="2">
        <f t="shared" ref="P41" si="117">IF((P40+P42+Q41) &gt;= 2,1,0)</f>
        <v>0</v>
      </c>
      <c r="Q41" s="2">
        <f t="shared" ref="Q41" si="118">IF((Q40+Q42+R41) &gt;= 2,1,0)</f>
        <v>0</v>
      </c>
      <c r="R41" s="2">
        <f t="shared" ref="R41" si="119">IF((R40+R42+S41) &gt;= 2,1,0)</f>
        <v>0</v>
      </c>
      <c r="S41" s="2">
        <f t="shared" ref="S41" si="120">IF((S40+S42+T41) &gt;= 2,1,0)</f>
        <v>0</v>
      </c>
      <c r="T41" s="2">
        <f t="shared" ref="T41" si="121">IF((T40+T42+U41) &gt;= 2,1,0)</f>
        <v>0</v>
      </c>
      <c r="U41" s="2">
        <f t="shared" ref="U41" si="122">IF((U40+U42+V41) &gt;= 2,1,0)</f>
        <v>0</v>
      </c>
      <c r="V41" s="2">
        <f>IF((V40+V42+W41) &gt;= 2,1,0)</f>
        <v>0</v>
      </c>
      <c r="Z41">
        <f>G11</f>
        <v>1</v>
      </c>
      <c r="AA41">
        <f t="shared" ref="AA41:AO41" si="123">H11</f>
        <v>1</v>
      </c>
      <c r="AB41">
        <f t="shared" si="123"/>
        <v>0</v>
      </c>
      <c r="AC41">
        <f t="shared" si="123"/>
        <v>0</v>
      </c>
      <c r="AD41">
        <f t="shared" si="123"/>
        <v>0</v>
      </c>
      <c r="AE41">
        <f t="shared" si="123"/>
        <v>0</v>
      </c>
      <c r="AF41">
        <f t="shared" si="123"/>
        <v>0</v>
      </c>
      <c r="AG41">
        <f t="shared" si="123"/>
        <v>1</v>
      </c>
      <c r="AH41">
        <f t="shared" si="123"/>
        <v>0</v>
      </c>
      <c r="AI41">
        <f t="shared" si="123"/>
        <v>0</v>
      </c>
      <c r="AJ41">
        <f t="shared" si="123"/>
        <v>1</v>
      </c>
      <c r="AK41">
        <f t="shared" si="123"/>
        <v>0</v>
      </c>
      <c r="AL41">
        <f t="shared" si="123"/>
        <v>1</v>
      </c>
      <c r="AM41">
        <f t="shared" si="123"/>
        <v>1</v>
      </c>
      <c r="AN41">
        <f t="shared" si="123"/>
        <v>1</v>
      </c>
      <c r="AO41">
        <f t="shared" si="123"/>
        <v>1</v>
      </c>
      <c r="AT41" t="s">
        <v>54</v>
      </c>
      <c r="AV41">
        <f>C11</f>
        <v>-16081</v>
      </c>
    </row>
    <row r="42" spans="6:67" x14ac:dyDescent="0.45"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Y42" s="1" t="s">
        <v>34</v>
      </c>
      <c r="AQ42" s="2">
        <f>AO43*2^0 + AN43*2^1+AM43*2^2+AL43*2^3+AK43*2^4+AJ43*2^5+AI43*2^6+AH43*2^7+AG43*2^8+AF43*2^9+AE43*2^10+AD43*2^11+AC43*2^12+AB43*2^13+AA43*2^14+Z43*2^15</f>
        <v>406</v>
      </c>
      <c r="AT42" t="s">
        <v>34</v>
      </c>
    </row>
    <row r="43" spans="6:67" x14ac:dyDescent="0.45">
      <c r="F43" s="1" t="s">
        <v>34</v>
      </c>
      <c r="Z43">
        <f>MOD(Z39+Z41+AA40,2)</f>
        <v>0</v>
      </c>
      <c r="AA43">
        <f t="shared" ref="AA43" si="124">MOD(AA39+AA41+AB40,2)</f>
        <v>0</v>
      </c>
      <c r="AB43">
        <f t="shared" ref="AB43" si="125">MOD(AB39+AB41+AC40,2)</f>
        <v>0</v>
      </c>
      <c r="AC43">
        <f t="shared" ref="AC43" si="126">MOD(AC39+AC41+AD40,2)</f>
        <v>0</v>
      </c>
      <c r="AD43">
        <f t="shared" ref="AD43" si="127">MOD(AD39+AD41+AE40,2)</f>
        <v>0</v>
      </c>
      <c r="AE43">
        <f t="shared" ref="AE43" si="128">MOD(AE39+AE41+AF40,2)</f>
        <v>0</v>
      </c>
      <c r="AF43">
        <f t="shared" ref="AF43" si="129">MOD(AF39+AF41+AG40,2)</f>
        <v>0</v>
      </c>
      <c r="AG43">
        <f t="shared" ref="AG43" si="130">MOD(AG39+AG41+AH40,2)</f>
        <v>1</v>
      </c>
      <c r="AH43">
        <f t="shared" ref="AH43" si="131">MOD(AH39+AH41+AI40,2)</f>
        <v>1</v>
      </c>
      <c r="AI43">
        <f t="shared" ref="AI43" si="132">MOD(AI39+AI41+AJ40,2)</f>
        <v>0</v>
      </c>
      <c r="AJ43">
        <f t="shared" ref="AJ43" si="133">MOD(AJ39+AJ41+AK40,2)</f>
        <v>0</v>
      </c>
      <c r="AK43">
        <f t="shared" ref="AK43" si="134">MOD(AK39+AK41+AL40,2)</f>
        <v>1</v>
      </c>
      <c r="AL43">
        <f t="shared" ref="AL43" si="135">MOD(AL39+AL41+AM40,2)</f>
        <v>0</v>
      </c>
      <c r="AM43">
        <f t="shared" ref="AM43" si="136">MOD(AM39+AM41+AN40,2)</f>
        <v>1</v>
      </c>
      <c r="AN43">
        <f t="shared" ref="AN43" si="137">MOD(AN39+AN41+AO40,2)</f>
        <v>1</v>
      </c>
      <c r="AO43">
        <f>MOD(AO39+AO41+AP40,2)</f>
        <v>0</v>
      </c>
      <c r="AP43" s="3" t="s">
        <v>48</v>
      </c>
      <c r="AQ43">
        <f>IF(AH46=1, AQ42-2^16,AQ42)</f>
        <v>406</v>
      </c>
      <c r="AR43" s="4" t="str">
        <f>"(10)"</f>
        <v>(10)</v>
      </c>
      <c r="AV43">
        <f>AV39+AV41</f>
        <v>406</v>
      </c>
    </row>
    <row r="44" spans="6:67" x14ac:dyDescent="0.45">
      <c r="G44">
        <f t="shared" ref="G44:U44" si="138">MOD(G40+G42+H41,2)</f>
        <v>0</v>
      </c>
      <c r="H44">
        <f t="shared" si="138"/>
        <v>1</v>
      </c>
      <c r="I44">
        <f t="shared" si="138"/>
        <v>0</v>
      </c>
      <c r="J44">
        <f t="shared" si="138"/>
        <v>0</v>
      </c>
      <c r="K44">
        <f t="shared" si="138"/>
        <v>0</v>
      </c>
      <c r="L44">
        <f t="shared" si="138"/>
        <v>0</v>
      </c>
      <c r="M44">
        <f t="shared" si="138"/>
        <v>0</v>
      </c>
      <c r="N44">
        <f t="shared" si="138"/>
        <v>0</v>
      </c>
      <c r="O44">
        <f t="shared" si="138"/>
        <v>0</v>
      </c>
      <c r="P44">
        <f t="shared" si="138"/>
        <v>1</v>
      </c>
      <c r="Q44">
        <f t="shared" si="138"/>
        <v>1</v>
      </c>
      <c r="R44">
        <f t="shared" si="138"/>
        <v>0</v>
      </c>
      <c r="S44">
        <f t="shared" si="138"/>
        <v>0</v>
      </c>
      <c r="T44">
        <f t="shared" si="138"/>
        <v>0</v>
      </c>
      <c r="U44">
        <f t="shared" si="138"/>
        <v>0</v>
      </c>
      <c r="V44">
        <f>MOD(V40+V42+W41,2)</f>
        <v>1</v>
      </c>
    </row>
    <row r="45" spans="6:67" x14ac:dyDescent="0.45">
      <c r="Z45" t="s">
        <v>42</v>
      </c>
      <c r="AB45" t="s">
        <v>43</v>
      </c>
      <c r="AD45" t="s">
        <v>44</v>
      </c>
      <c r="AF45" t="s">
        <v>45</v>
      </c>
      <c r="AH45" t="s">
        <v>46</v>
      </c>
      <c r="AJ45" t="s">
        <v>47</v>
      </c>
    </row>
    <row r="46" spans="6:67" x14ac:dyDescent="0.45">
      <c r="G46" s="6" t="s">
        <v>38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Z46">
        <f>Z40</f>
        <v>1</v>
      </c>
      <c r="AB46">
        <f>MOD(SUM(AH43:AO43),2)</f>
        <v>0</v>
      </c>
      <c r="AD46">
        <f>AL40</f>
        <v>1</v>
      </c>
      <c r="AF46">
        <f>IF(SUM(Z43:AO43)=0,1,0)</f>
        <v>0</v>
      </c>
      <c r="AH46">
        <f>Z43</f>
        <v>0</v>
      </c>
      <c r="AJ46">
        <f>MOD(AA40+Z40, 2)</f>
        <v>0</v>
      </c>
      <c r="AS46" s="6" t="str">
        <f>IF(AJ46=0,IF(Z46=1,"Результат корректный; Перенос из старшего разряда не учитывается", "Результат корректный"),IF(Z39=0,"При сложении положительных чисел получен отрицательный результат; ПЕРЕПОЛНЕНИЕ!", "При сложении отрицательных чисел получен положительный результат; ПЕРЕПОЛНЕНИЕ!"))</f>
        <v>Результат корректный; Перенос из старшего разряда не учитывается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</row>
    <row r="47" spans="6:67" x14ac:dyDescent="0.45">
      <c r="G47">
        <f>1-G9</f>
        <v>1</v>
      </c>
      <c r="H47">
        <f t="shared" ref="H47:V47" si="139">1-H9</f>
        <v>1</v>
      </c>
      <c r="I47">
        <f t="shared" si="139"/>
        <v>1</v>
      </c>
      <c r="J47">
        <f t="shared" si="139"/>
        <v>1</v>
      </c>
      <c r="K47">
        <f t="shared" si="139"/>
        <v>1</v>
      </c>
      <c r="L47">
        <f t="shared" si="139"/>
        <v>1</v>
      </c>
      <c r="M47">
        <f t="shared" si="139"/>
        <v>1</v>
      </c>
      <c r="N47">
        <f t="shared" si="139"/>
        <v>0</v>
      </c>
      <c r="O47">
        <f t="shared" si="139"/>
        <v>0</v>
      </c>
      <c r="P47">
        <f t="shared" si="139"/>
        <v>1</v>
      </c>
      <c r="Q47">
        <f t="shared" si="139"/>
        <v>1</v>
      </c>
      <c r="R47">
        <f t="shared" si="139"/>
        <v>0</v>
      </c>
      <c r="S47">
        <f t="shared" si="139"/>
        <v>1</v>
      </c>
      <c r="T47">
        <f t="shared" si="139"/>
        <v>0</v>
      </c>
      <c r="U47">
        <f t="shared" si="139"/>
        <v>0</v>
      </c>
      <c r="V47">
        <f t="shared" si="139"/>
        <v>1</v>
      </c>
    </row>
    <row r="48" spans="6:67" x14ac:dyDescent="0.45">
      <c r="F48" s="1" t="s">
        <v>33</v>
      </c>
      <c r="H48" s="2">
        <f t="shared" ref="H48" si="140">IF((H47+H49+I48) &gt;= 2,1,0)</f>
        <v>0</v>
      </c>
      <c r="I48" s="2">
        <f t="shared" ref="I48" si="141">IF((I47+I49+J48) &gt;= 2,1,0)</f>
        <v>0</v>
      </c>
      <c r="J48" s="2">
        <f t="shared" ref="J48" si="142">IF((J47+J49+K48) &gt;= 2,1,0)</f>
        <v>0</v>
      </c>
      <c r="K48" s="2">
        <f t="shared" ref="K48" si="143">IF((K47+K49+L48) &gt;= 2,1,0)</f>
        <v>0</v>
      </c>
      <c r="L48" s="2">
        <f t="shared" ref="L48" si="144">IF((L47+L49+M48) &gt;= 2,1,0)</f>
        <v>0</v>
      </c>
      <c r="M48" s="2">
        <f t="shared" ref="M48" si="145">IF((M47+M49+N48) &gt;= 2,1,0)</f>
        <v>0</v>
      </c>
      <c r="N48" s="2">
        <f t="shared" ref="N48" si="146">IF((N47+N49+O48) &gt;= 2,1,0)</f>
        <v>0</v>
      </c>
      <c r="O48" s="2">
        <f t="shared" ref="O48" si="147">IF((O47+O49+P48) &gt;= 2,1,0)</f>
        <v>0</v>
      </c>
      <c r="P48" s="2">
        <f t="shared" ref="P48" si="148">IF((P47+P49+Q48) &gt;= 2,1,0)</f>
        <v>0</v>
      </c>
      <c r="Q48" s="2">
        <f t="shared" ref="Q48" si="149">IF((Q47+Q49+R48) &gt;= 2,1,0)</f>
        <v>0</v>
      </c>
      <c r="R48" s="2">
        <f t="shared" ref="R48" si="150">IF((R47+R49+S48) &gt;= 2,1,0)</f>
        <v>0</v>
      </c>
      <c r="S48" s="2">
        <f t="shared" ref="S48" si="151">IF((S47+S49+T48) &gt;= 2,1,0)</f>
        <v>0</v>
      </c>
      <c r="T48" s="2">
        <f t="shared" ref="T48" si="152">IF((T47+T49+U48) &gt;= 2,1,0)</f>
        <v>0</v>
      </c>
      <c r="U48" s="2">
        <f t="shared" ref="U48" si="153">IF((U47+U49+V48) &gt;= 2,1,0)</f>
        <v>0</v>
      </c>
      <c r="V48" s="2">
        <f>IF((V47+V49+W48) &gt;= 2,1,0)</f>
        <v>1</v>
      </c>
      <c r="Z48" s="6" t="s">
        <v>52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</row>
    <row r="49" spans="6:67" x14ac:dyDescent="0.45"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Z49">
        <f>G11</f>
        <v>1</v>
      </c>
      <c r="AA49">
        <f t="shared" ref="AA49:AO49" si="154">H11</f>
        <v>1</v>
      </c>
      <c r="AB49">
        <f t="shared" si="154"/>
        <v>0</v>
      </c>
      <c r="AC49">
        <f t="shared" si="154"/>
        <v>0</v>
      </c>
      <c r="AD49">
        <f t="shared" si="154"/>
        <v>0</v>
      </c>
      <c r="AE49">
        <f t="shared" si="154"/>
        <v>0</v>
      </c>
      <c r="AF49">
        <f t="shared" si="154"/>
        <v>0</v>
      </c>
      <c r="AG49">
        <f t="shared" si="154"/>
        <v>1</v>
      </c>
      <c r="AH49">
        <f t="shared" si="154"/>
        <v>0</v>
      </c>
      <c r="AI49">
        <f t="shared" si="154"/>
        <v>0</v>
      </c>
      <c r="AJ49">
        <f t="shared" si="154"/>
        <v>1</v>
      </c>
      <c r="AK49">
        <f t="shared" si="154"/>
        <v>0</v>
      </c>
      <c r="AL49">
        <f t="shared" si="154"/>
        <v>1</v>
      </c>
      <c r="AM49">
        <f t="shared" si="154"/>
        <v>1</v>
      </c>
      <c r="AN49">
        <f t="shared" si="154"/>
        <v>1</v>
      </c>
      <c r="AO49">
        <f t="shared" si="154"/>
        <v>1</v>
      </c>
      <c r="AT49" t="s">
        <v>54</v>
      </c>
      <c r="AV49">
        <f>C11</f>
        <v>-16081</v>
      </c>
    </row>
    <row r="50" spans="6:67" x14ac:dyDescent="0.45">
      <c r="F50" s="1" t="s">
        <v>34</v>
      </c>
      <c r="Y50" s="1" t="s">
        <v>33</v>
      </c>
      <c r="Z50" s="2">
        <f t="shared" ref="Z50" si="155">IF((Z49+Z51+AA50) &gt;= 2,1,0)</f>
        <v>1</v>
      </c>
      <c r="AA50" s="2">
        <f t="shared" ref="AA50" si="156">IF((AA49+AA51+AB50) &gt;= 2,1,0)</f>
        <v>1</v>
      </c>
      <c r="AB50" s="2">
        <f t="shared" ref="AB50" si="157">IF((AB49+AB51+AC50) &gt;= 2,1,0)</f>
        <v>1</v>
      </c>
      <c r="AC50" s="2">
        <f t="shared" ref="AC50" si="158">IF((AC49+AC51+AD50) &gt;= 2,1,0)</f>
        <v>1</v>
      </c>
      <c r="AD50" s="2">
        <f t="shared" ref="AD50" si="159">IF((AD49+AD51+AE50) &gt;= 2,1,0)</f>
        <v>1</v>
      </c>
      <c r="AE50" s="2">
        <f t="shared" ref="AE50" si="160">IF((AE49+AE51+AF50) &gt;= 2,1,0)</f>
        <v>1</v>
      </c>
      <c r="AF50" s="2">
        <f t="shared" ref="AF50" si="161">IF((AF49+AF51+AG50) &gt;= 2,1,0)</f>
        <v>1</v>
      </c>
      <c r="AG50" s="2">
        <f t="shared" ref="AG50" si="162">IF((AG49+AG51+AH50) &gt;= 2,1,0)</f>
        <v>1</v>
      </c>
      <c r="AH50" s="2">
        <f t="shared" ref="AH50" si="163">IF((AH49+AH51+AI50) &gt;= 2,1,0)</f>
        <v>0</v>
      </c>
      <c r="AI50" s="2">
        <f t="shared" ref="AI50" si="164">IF((AI49+AI51+AJ50) &gt;= 2,1,0)</f>
        <v>0</v>
      </c>
      <c r="AJ50" s="2">
        <f t="shared" ref="AJ50" si="165">IF((AJ49+AJ51+AK50) &gt;= 2,1,0)</f>
        <v>1</v>
      </c>
      <c r="AK50" s="2">
        <f t="shared" ref="AK50" si="166">IF((AK49+AK51+AL50) &gt;= 2,1,0)</f>
        <v>1</v>
      </c>
      <c r="AL50" s="2">
        <f t="shared" ref="AL50" si="167">IF((AL49+AL51+AM50) &gt;= 2,1,0)</f>
        <v>1</v>
      </c>
      <c r="AM50" s="2">
        <f t="shared" ref="AM50" si="168">IF((AM49+AM51+AN50) &gt;= 2,1,0)</f>
        <v>1</v>
      </c>
      <c r="AN50" s="2">
        <f t="shared" ref="AN50" si="169">IF((AN49+AN51+AO50) &gt;= 2,1,0)</f>
        <v>1</v>
      </c>
      <c r="AO50" s="2">
        <f>IF((AO49+AO51+AP50) &gt;= 2,1,0)</f>
        <v>1</v>
      </c>
      <c r="AP50" s="2">
        <f>0</f>
        <v>0</v>
      </c>
      <c r="AT50" t="s">
        <v>33</v>
      </c>
    </row>
    <row r="51" spans="6:67" x14ac:dyDescent="0.45">
      <c r="G51">
        <f t="shared" ref="G51:U51" si="170">MOD(G47+G49+H48,2)</f>
        <v>1</v>
      </c>
      <c r="H51">
        <f t="shared" si="170"/>
        <v>1</v>
      </c>
      <c r="I51">
        <f t="shared" si="170"/>
        <v>1</v>
      </c>
      <c r="J51">
        <f t="shared" si="170"/>
        <v>1</v>
      </c>
      <c r="K51">
        <f t="shared" si="170"/>
        <v>1</v>
      </c>
      <c r="L51">
        <f t="shared" si="170"/>
        <v>1</v>
      </c>
      <c r="M51">
        <f t="shared" si="170"/>
        <v>1</v>
      </c>
      <c r="N51">
        <f t="shared" si="170"/>
        <v>0</v>
      </c>
      <c r="O51">
        <f t="shared" si="170"/>
        <v>0</v>
      </c>
      <c r="P51">
        <f t="shared" si="170"/>
        <v>1</v>
      </c>
      <c r="Q51">
        <f t="shared" si="170"/>
        <v>1</v>
      </c>
      <c r="R51">
        <f t="shared" si="170"/>
        <v>0</v>
      </c>
      <c r="S51">
        <f t="shared" si="170"/>
        <v>1</v>
      </c>
      <c r="T51">
        <f t="shared" si="170"/>
        <v>0</v>
      </c>
      <c r="U51">
        <f t="shared" si="170"/>
        <v>1</v>
      </c>
      <c r="V51">
        <f>MOD(V47+V49+W48,2)</f>
        <v>0</v>
      </c>
      <c r="Z51">
        <f>G12</f>
        <v>1</v>
      </c>
      <c r="AA51">
        <f t="shared" ref="AA51:AO51" si="171">H12</f>
        <v>0</v>
      </c>
      <c r="AB51">
        <f t="shared" si="171"/>
        <v>1</v>
      </c>
      <c r="AC51">
        <f t="shared" si="171"/>
        <v>1</v>
      </c>
      <c r="AD51">
        <f t="shared" si="171"/>
        <v>1</v>
      </c>
      <c r="AE51">
        <f t="shared" si="171"/>
        <v>1</v>
      </c>
      <c r="AF51">
        <f t="shared" si="171"/>
        <v>1</v>
      </c>
      <c r="AG51">
        <f t="shared" si="171"/>
        <v>1</v>
      </c>
      <c r="AH51">
        <f t="shared" si="171"/>
        <v>1</v>
      </c>
      <c r="AI51">
        <f t="shared" si="171"/>
        <v>0</v>
      </c>
      <c r="AJ51">
        <f t="shared" si="171"/>
        <v>0</v>
      </c>
      <c r="AK51">
        <f t="shared" si="171"/>
        <v>1</v>
      </c>
      <c r="AL51">
        <f t="shared" si="171"/>
        <v>1</v>
      </c>
      <c r="AM51">
        <f t="shared" si="171"/>
        <v>0</v>
      </c>
      <c r="AN51">
        <f t="shared" si="171"/>
        <v>0</v>
      </c>
      <c r="AO51">
        <f t="shared" si="171"/>
        <v>1</v>
      </c>
      <c r="AT51" t="s">
        <v>55</v>
      </c>
      <c r="AV51">
        <f>C12</f>
        <v>-16487</v>
      </c>
    </row>
    <row r="52" spans="6:67" x14ac:dyDescent="0.45">
      <c r="Y52" s="1" t="s">
        <v>34</v>
      </c>
      <c r="AQ52" s="2">
        <f>AO53*2^0 + AN53*2^1+AM53*2^2+AL53*2^3+AK53*2^4+AJ53*2^5+AI53*2^6+AH53*2^7+AG53*2^8+AF53*2^9+AE53*2^10+AD53*2^11+AC53*2^12+AB53*2^13+AA53*2^14+Z53*2^15</f>
        <v>32968</v>
      </c>
      <c r="AT52" t="s">
        <v>34</v>
      </c>
    </row>
    <row r="53" spans="6:67" x14ac:dyDescent="0.45">
      <c r="G53" s="6" t="s">
        <v>39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Z53">
        <f>MOD(Z49+Z51+AA50,2)</f>
        <v>1</v>
      </c>
      <c r="AA53">
        <f t="shared" ref="AA53" si="172">MOD(AA49+AA51+AB50,2)</f>
        <v>0</v>
      </c>
      <c r="AB53">
        <f t="shared" ref="AB53" si="173">MOD(AB49+AB51+AC50,2)</f>
        <v>0</v>
      </c>
      <c r="AC53">
        <f t="shared" ref="AC53" si="174">MOD(AC49+AC51+AD50,2)</f>
        <v>0</v>
      </c>
      <c r="AD53">
        <f t="shared" ref="AD53" si="175">MOD(AD49+AD51+AE50,2)</f>
        <v>0</v>
      </c>
      <c r="AE53">
        <f t="shared" ref="AE53" si="176">MOD(AE49+AE51+AF50,2)</f>
        <v>0</v>
      </c>
      <c r="AF53">
        <f t="shared" ref="AF53" si="177">MOD(AF49+AF51+AG50,2)</f>
        <v>0</v>
      </c>
      <c r="AG53">
        <f t="shared" ref="AG53" si="178">MOD(AG49+AG51+AH50,2)</f>
        <v>0</v>
      </c>
      <c r="AH53">
        <f t="shared" ref="AH53" si="179">MOD(AH49+AH51+AI50,2)</f>
        <v>1</v>
      </c>
      <c r="AI53">
        <f t="shared" ref="AI53" si="180">MOD(AI49+AI51+AJ50,2)</f>
        <v>1</v>
      </c>
      <c r="AJ53">
        <f t="shared" ref="AJ53" si="181">MOD(AJ49+AJ51+AK50,2)</f>
        <v>0</v>
      </c>
      <c r="AK53">
        <f t="shared" ref="AK53" si="182">MOD(AK49+AK51+AL50,2)</f>
        <v>0</v>
      </c>
      <c r="AL53">
        <f t="shared" ref="AL53" si="183">MOD(AL49+AL51+AM50,2)</f>
        <v>1</v>
      </c>
      <c r="AM53">
        <f t="shared" ref="AM53" si="184">MOD(AM49+AM51+AN50,2)</f>
        <v>0</v>
      </c>
      <c r="AN53">
        <f t="shared" ref="AN53" si="185">MOD(AN49+AN51+AO50,2)</f>
        <v>0</v>
      </c>
      <c r="AO53">
        <f>MOD(AO49+AO51+AP50,2)</f>
        <v>0</v>
      </c>
      <c r="AP53" s="3" t="s">
        <v>48</v>
      </c>
      <c r="AQ53">
        <f>IF(AH56=1, AQ52-2^16,AQ52)</f>
        <v>-32568</v>
      </c>
      <c r="AR53" s="4" t="str">
        <f>"(10)"</f>
        <v>(10)</v>
      </c>
      <c r="AV53">
        <f>AV49+AV51</f>
        <v>-32568</v>
      </c>
    </row>
    <row r="54" spans="6:67" x14ac:dyDescent="0.45">
      <c r="G54">
        <f>1-G10</f>
        <v>1</v>
      </c>
      <c r="H54">
        <f t="shared" ref="H54:V54" si="186">1-H10</f>
        <v>0</v>
      </c>
      <c r="I54">
        <f t="shared" si="186"/>
        <v>1</v>
      </c>
      <c r="J54">
        <f t="shared" si="186"/>
        <v>1</v>
      </c>
      <c r="K54">
        <f t="shared" si="186"/>
        <v>1</v>
      </c>
      <c r="L54">
        <f t="shared" si="186"/>
        <v>1</v>
      </c>
      <c r="M54">
        <f t="shared" si="186"/>
        <v>1</v>
      </c>
      <c r="N54">
        <f t="shared" si="186"/>
        <v>1</v>
      </c>
      <c r="O54">
        <f t="shared" si="186"/>
        <v>1</v>
      </c>
      <c r="P54">
        <f t="shared" si="186"/>
        <v>0</v>
      </c>
      <c r="Q54">
        <f t="shared" si="186"/>
        <v>0</v>
      </c>
      <c r="R54">
        <f t="shared" si="186"/>
        <v>1</v>
      </c>
      <c r="S54">
        <f t="shared" si="186"/>
        <v>1</v>
      </c>
      <c r="T54">
        <f t="shared" si="186"/>
        <v>1</v>
      </c>
      <c r="U54">
        <f t="shared" si="186"/>
        <v>1</v>
      </c>
      <c r="V54">
        <f t="shared" si="186"/>
        <v>0</v>
      </c>
    </row>
    <row r="55" spans="6:67" x14ac:dyDescent="0.45">
      <c r="F55" s="1" t="s">
        <v>33</v>
      </c>
      <c r="H55" s="2">
        <f t="shared" ref="H55" si="187">IF((H54+H56+I55) &gt;= 2,1,0)</f>
        <v>0</v>
      </c>
      <c r="I55" s="2">
        <f t="shared" ref="I55" si="188">IF((I54+I56+J55) &gt;= 2,1,0)</f>
        <v>0</v>
      </c>
      <c r="J55" s="2">
        <f t="shared" ref="J55" si="189">IF((J54+J56+K55) &gt;= 2,1,0)</f>
        <v>0</v>
      </c>
      <c r="K55" s="2">
        <f t="shared" ref="K55" si="190">IF((K54+K56+L55) &gt;= 2,1,0)</f>
        <v>0</v>
      </c>
      <c r="L55" s="2">
        <f t="shared" ref="L55" si="191">IF((L54+L56+M55) &gt;= 2,1,0)</f>
        <v>0</v>
      </c>
      <c r="M55" s="2">
        <f t="shared" ref="M55" si="192">IF((M54+M56+N55) &gt;= 2,1,0)</f>
        <v>0</v>
      </c>
      <c r="N55" s="2">
        <f t="shared" ref="N55" si="193">IF((N54+N56+O55) &gt;= 2,1,0)</f>
        <v>0</v>
      </c>
      <c r="O55" s="2">
        <f t="shared" ref="O55" si="194">IF((O54+O56+P55) &gt;= 2,1,0)</f>
        <v>0</v>
      </c>
      <c r="P55" s="2">
        <f t="shared" ref="P55" si="195">IF((P54+P56+Q55) &gt;= 2,1,0)</f>
        <v>0</v>
      </c>
      <c r="Q55" s="2">
        <f t="shared" ref="Q55" si="196">IF((Q54+Q56+R55) &gt;= 2,1,0)</f>
        <v>0</v>
      </c>
      <c r="R55" s="2">
        <f t="shared" ref="R55" si="197">IF((R54+R56+S55) &gt;= 2,1,0)</f>
        <v>0</v>
      </c>
      <c r="S55" s="2">
        <f t="shared" ref="S55" si="198">IF((S54+S56+T55) &gt;= 2,1,0)</f>
        <v>0</v>
      </c>
      <c r="T55" s="2">
        <f t="shared" ref="T55" si="199">IF((T54+T56+U55) &gt;= 2,1,0)</f>
        <v>0</v>
      </c>
      <c r="U55" s="2">
        <f t="shared" ref="U55" si="200">IF((U54+U56+V55) &gt;= 2,1,0)</f>
        <v>0</v>
      </c>
      <c r="V55" s="2">
        <f>IF((V54+V56+W55) &gt;= 2,1,0)</f>
        <v>0</v>
      </c>
      <c r="Z55" t="s">
        <v>42</v>
      </c>
      <c r="AB55" t="s">
        <v>43</v>
      </c>
      <c r="AD55" t="s">
        <v>44</v>
      </c>
      <c r="AF55" t="s">
        <v>45</v>
      </c>
      <c r="AH55" t="s">
        <v>46</v>
      </c>
      <c r="AJ55" t="s">
        <v>47</v>
      </c>
    </row>
    <row r="56" spans="6:67" x14ac:dyDescent="0.45"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Z56">
        <f>Z50</f>
        <v>1</v>
      </c>
      <c r="AB56">
        <f>MOD(SUM(AH53:AO53),2)</f>
        <v>1</v>
      </c>
      <c r="AD56">
        <f>AL50</f>
        <v>1</v>
      </c>
      <c r="AF56">
        <f>IF(SUM(Z53:AO53)=0,1,0)</f>
        <v>0</v>
      </c>
      <c r="AH56">
        <f>Z53</f>
        <v>1</v>
      </c>
      <c r="AJ56">
        <f>MOD(AA50+Z50, 2)</f>
        <v>0</v>
      </c>
      <c r="AS56" s="6" t="str">
        <f>IF(AJ56=0,IF(Z56=1,"Результат корректный; Перенос из старшего разряда не учитывается", "Результат корректный"),IF(Z49=0,"При сложении положительных чисел получен отрицательный результат; ПЕРЕПОЛНЕНИЕ!", "При сложении отрицательных чисел получен положительный результат; ПЕРЕПОЛНЕНИЕ!"))</f>
        <v>Результат корректный; Перенос из старшего разряда не учитывается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</row>
    <row r="57" spans="6:67" x14ac:dyDescent="0.45">
      <c r="F57" s="1" t="s">
        <v>34</v>
      </c>
    </row>
    <row r="58" spans="6:67" x14ac:dyDescent="0.45">
      <c r="G58">
        <f t="shared" ref="G58:U58" si="201">MOD(G54+G56+H55,2)</f>
        <v>1</v>
      </c>
      <c r="H58">
        <f t="shared" si="201"/>
        <v>0</v>
      </c>
      <c r="I58">
        <f t="shared" si="201"/>
        <v>1</v>
      </c>
      <c r="J58">
        <f t="shared" si="201"/>
        <v>1</v>
      </c>
      <c r="K58">
        <f t="shared" si="201"/>
        <v>1</v>
      </c>
      <c r="L58">
        <f t="shared" si="201"/>
        <v>1</v>
      </c>
      <c r="M58">
        <f t="shared" si="201"/>
        <v>1</v>
      </c>
      <c r="N58">
        <f t="shared" si="201"/>
        <v>1</v>
      </c>
      <c r="O58">
        <f t="shared" si="201"/>
        <v>1</v>
      </c>
      <c r="P58">
        <f t="shared" si="201"/>
        <v>0</v>
      </c>
      <c r="Q58">
        <f t="shared" si="201"/>
        <v>0</v>
      </c>
      <c r="R58">
        <f t="shared" si="201"/>
        <v>1</v>
      </c>
      <c r="S58">
        <f t="shared" si="201"/>
        <v>1</v>
      </c>
      <c r="T58">
        <f t="shared" si="201"/>
        <v>1</v>
      </c>
      <c r="U58">
        <f t="shared" si="201"/>
        <v>1</v>
      </c>
      <c r="V58">
        <f>MOD(V54+V56+W55,2)</f>
        <v>1</v>
      </c>
      <c r="Z58" s="6" t="s">
        <v>56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</row>
    <row r="59" spans="6:67" x14ac:dyDescent="0.45">
      <c r="Z59">
        <f>G12</f>
        <v>1</v>
      </c>
      <c r="AA59">
        <f t="shared" ref="AA59:AO59" si="202">H12</f>
        <v>0</v>
      </c>
      <c r="AB59">
        <f t="shared" si="202"/>
        <v>1</v>
      </c>
      <c r="AC59">
        <f t="shared" si="202"/>
        <v>1</v>
      </c>
      <c r="AD59">
        <f t="shared" si="202"/>
        <v>1</v>
      </c>
      <c r="AE59">
        <f t="shared" si="202"/>
        <v>1</v>
      </c>
      <c r="AF59">
        <f t="shared" si="202"/>
        <v>1</v>
      </c>
      <c r="AG59">
        <f t="shared" si="202"/>
        <v>1</v>
      </c>
      <c r="AH59">
        <f t="shared" si="202"/>
        <v>1</v>
      </c>
      <c r="AI59">
        <f t="shared" si="202"/>
        <v>0</v>
      </c>
      <c r="AJ59">
        <f t="shared" si="202"/>
        <v>0</v>
      </c>
      <c r="AK59">
        <f t="shared" si="202"/>
        <v>1</v>
      </c>
      <c r="AL59">
        <f t="shared" si="202"/>
        <v>1</v>
      </c>
      <c r="AM59">
        <f t="shared" si="202"/>
        <v>0</v>
      </c>
      <c r="AN59">
        <f t="shared" si="202"/>
        <v>0</v>
      </c>
      <c r="AO59">
        <f t="shared" si="202"/>
        <v>1</v>
      </c>
      <c r="AT59" t="s">
        <v>55</v>
      </c>
      <c r="AV59">
        <f>C12</f>
        <v>-16487</v>
      </c>
    </row>
    <row r="60" spans="6:67" x14ac:dyDescent="0.45">
      <c r="Y60" s="1" t="s">
        <v>33</v>
      </c>
      <c r="Z60" s="2">
        <f t="shared" ref="Z60" si="203">IF((Z59+Z61+AA60) &gt;= 2,1,0)</f>
        <v>1</v>
      </c>
      <c r="AA60" s="2">
        <f t="shared" ref="AA60" si="204">IF((AA59+AA61+AB60) &gt;= 2,1,0)</f>
        <v>0</v>
      </c>
      <c r="AB60" s="2">
        <f t="shared" ref="AB60" si="205">IF((AB59+AB61+AC60) &gt;= 2,1,0)</f>
        <v>1</v>
      </c>
      <c r="AC60" s="2">
        <f t="shared" ref="AC60" si="206">IF((AC59+AC61+AD60) &gt;= 2,1,0)</f>
        <v>1</v>
      </c>
      <c r="AD60" s="2">
        <f t="shared" ref="AD60" si="207">IF((AD59+AD61+AE60) &gt;= 2,1,0)</f>
        <v>1</v>
      </c>
      <c r="AE60" s="2">
        <f t="shared" ref="AE60" si="208">IF((AE59+AE61+AF60) &gt;= 2,1,0)</f>
        <v>1</v>
      </c>
      <c r="AF60" s="2">
        <f t="shared" ref="AF60" si="209">IF((AF59+AF61+AG60) &gt;= 2,1,0)</f>
        <v>1</v>
      </c>
      <c r="AG60" s="2">
        <f t="shared" ref="AG60" si="210">IF((AG59+AG61+AH60) &gt;= 2,1,0)</f>
        <v>1</v>
      </c>
      <c r="AH60" s="2">
        <f t="shared" ref="AH60" si="211">IF((AH59+AH61+AI60) &gt;= 2,1,0)</f>
        <v>1</v>
      </c>
      <c r="AI60" s="2">
        <f t="shared" ref="AI60" si="212">IF((AI59+AI61+AJ60) &gt;= 2,1,0)</f>
        <v>0</v>
      </c>
      <c r="AJ60" s="2">
        <f t="shared" ref="AJ60" si="213">IF((AJ59+AJ61+AK60) &gt;= 2,1,0)</f>
        <v>0</v>
      </c>
      <c r="AK60" s="2">
        <f t="shared" ref="AK60" si="214">IF((AK59+AK61+AL60) &gt;= 2,1,0)</f>
        <v>1</v>
      </c>
      <c r="AL60" s="2">
        <f t="shared" ref="AL60" si="215">IF((AL59+AL61+AM60) &gt;= 2,1,0)</f>
        <v>1</v>
      </c>
      <c r="AM60" s="2">
        <f t="shared" ref="AM60" si="216">IF((AM59+AM61+AN60) &gt;= 2,1,0)</f>
        <v>0</v>
      </c>
      <c r="AN60" s="2">
        <f t="shared" ref="AN60" si="217">IF((AN59+AN61+AO60) &gt;= 2,1,0)</f>
        <v>0</v>
      </c>
      <c r="AO60" s="2">
        <f>IF((AO59+AO61+AP60) &gt;= 2,1,0)</f>
        <v>0</v>
      </c>
      <c r="AP60" s="2">
        <f>0</f>
        <v>0</v>
      </c>
      <c r="AT60" t="s">
        <v>33</v>
      </c>
    </row>
    <row r="61" spans="6:67" x14ac:dyDescent="0.45">
      <c r="Z61">
        <f>G13</f>
        <v>1</v>
      </c>
      <c r="AA61">
        <f t="shared" ref="AA61:AO61" si="218">H13</f>
        <v>0</v>
      </c>
      <c r="AB61">
        <f t="shared" si="218"/>
        <v>0</v>
      </c>
      <c r="AC61">
        <f t="shared" si="218"/>
        <v>0</v>
      </c>
      <c r="AD61">
        <f t="shared" si="218"/>
        <v>0</v>
      </c>
      <c r="AE61">
        <f t="shared" si="218"/>
        <v>0</v>
      </c>
      <c r="AF61">
        <f t="shared" si="218"/>
        <v>0</v>
      </c>
      <c r="AG61">
        <f t="shared" si="218"/>
        <v>0</v>
      </c>
      <c r="AH61">
        <f t="shared" si="218"/>
        <v>1</v>
      </c>
      <c r="AI61">
        <f t="shared" si="218"/>
        <v>1</v>
      </c>
      <c r="AJ61">
        <f t="shared" si="218"/>
        <v>0</v>
      </c>
      <c r="AK61">
        <f t="shared" si="218"/>
        <v>0</v>
      </c>
      <c r="AL61">
        <f t="shared" si="218"/>
        <v>1</v>
      </c>
      <c r="AM61">
        <f t="shared" si="218"/>
        <v>0</v>
      </c>
      <c r="AN61">
        <f t="shared" si="218"/>
        <v>0</v>
      </c>
      <c r="AO61">
        <f t="shared" si="218"/>
        <v>0</v>
      </c>
      <c r="AT61" t="s">
        <v>57</v>
      </c>
      <c r="AV61">
        <f>C13</f>
        <v>-32568</v>
      </c>
    </row>
    <row r="62" spans="6:67" x14ac:dyDescent="0.45">
      <c r="Y62" s="1" t="s">
        <v>34</v>
      </c>
      <c r="AQ62" s="2">
        <f>AO63*2^0 + AN63*2^1+AM63*2^2+AL63*2^3+AK63*2^4+AJ63*2^5+AI63*2^6+AH63*2^7+AG63*2^8+AF63*2^9+AE63*2^10+AD63*2^11+AC63*2^12+AB63*2^13+AA63*2^14+Z63*2^15</f>
        <v>16481</v>
      </c>
      <c r="AT62" t="s">
        <v>34</v>
      </c>
    </row>
    <row r="63" spans="6:67" x14ac:dyDescent="0.45">
      <c r="Z63">
        <f>MOD(Z59+Z61+AA60,2)</f>
        <v>0</v>
      </c>
      <c r="AA63">
        <f t="shared" ref="AA63" si="219">MOD(AA59+AA61+AB60,2)</f>
        <v>1</v>
      </c>
      <c r="AB63">
        <f t="shared" ref="AB63" si="220">MOD(AB59+AB61+AC60,2)</f>
        <v>0</v>
      </c>
      <c r="AC63">
        <f t="shared" ref="AC63" si="221">MOD(AC59+AC61+AD60,2)</f>
        <v>0</v>
      </c>
      <c r="AD63">
        <f t="shared" ref="AD63" si="222">MOD(AD59+AD61+AE60,2)</f>
        <v>0</v>
      </c>
      <c r="AE63">
        <f t="shared" ref="AE63" si="223">MOD(AE59+AE61+AF60,2)</f>
        <v>0</v>
      </c>
      <c r="AF63">
        <f t="shared" ref="AF63" si="224">MOD(AF59+AF61+AG60,2)</f>
        <v>0</v>
      </c>
      <c r="AG63">
        <f t="shared" ref="AG63" si="225">MOD(AG59+AG61+AH60,2)</f>
        <v>0</v>
      </c>
      <c r="AH63">
        <f t="shared" ref="AH63" si="226">MOD(AH59+AH61+AI60,2)</f>
        <v>0</v>
      </c>
      <c r="AI63">
        <f t="shared" ref="AI63" si="227">MOD(AI59+AI61+AJ60,2)</f>
        <v>1</v>
      </c>
      <c r="AJ63">
        <f t="shared" ref="AJ63" si="228">MOD(AJ59+AJ61+AK60,2)</f>
        <v>1</v>
      </c>
      <c r="AK63">
        <f t="shared" ref="AK63" si="229">MOD(AK59+AK61+AL60,2)</f>
        <v>0</v>
      </c>
      <c r="AL63">
        <f t="shared" ref="AL63" si="230">MOD(AL59+AL61+AM60,2)</f>
        <v>0</v>
      </c>
      <c r="AM63">
        <f t="shared" ref="AM63" si="231">MOD(AM59+AM61+AN60,2)</f>
        <v>0</v>
      </c>
      <c r="AN63">
        <f t="shared" ref="AN63" si="232">MOD(AN59+AN61+AO60,2)</f>
        <v>0</v>
      </c>
      <c r="AO63">
        <f>MOD(AO59+AO61+AP60,2)</f>
        <v>1</v>
      </c>
      <c r="AP63" s="3" t="s">
        <v>48</v>
      </c>
      <c r="AQ63">
        <f>IF(AH66=1, AQ62-2^16,AQ62)</f>
        <v>16481</v>
      </c>
      <c r="AR63" s="4" t="str">
        <f>"(10)"</f>
        <v>(10)</v>
      </c>
      <c r="AV63">
        <f>AV59+AV61</f>
        <v>-49055</v>
      </c>
    </row>
    <row r="65" spans="25:67" x14ac:dyDescent="0.45">
      <c r="Z65" t="s">
        <v>42</v>
      </c>
      <c r="AB65" t="s">
        <v>43</v>
      </c>
      <c r="AD65" t="s">
        <v>44</v>
      </c>
      <c r="AF65" t="s">
        <v>45</v>
      </c>
      <c r="AH65" t="s">
        <v>46</v>
      </c>
      <c r="AJ65" t="s">
        <v>47</v>
      </c>
    </row>
    <row r="66" spans="25:67" x14ac:dyDescent="0.45">
      <c r="Z66">
        <f>Z60</f>
        <v>1</v>
      </c>
      <c r="AB66">
        <f>MOD(SUM(AH63:AO63),2)</f>
        <v>1</v>
      </c>
      <c r="AD66">
        <f>AL60</f>
        <v>1</v>
      </c>
      <c r="AF66">
        <f>IF(SUM(Z63:AO63)=0,1,0)</f>
        <v>0</v>
      </c>
      <c r="AH66">
        <f>Z63</f>
        <v>0</v>
      </c>
      <c r="AJ66">
        <f>MOD(AA60+Z60, 2)</f>
        <v>1</v>
      </c>
      <c r="AS66" s="6" t="str">
        <f>IF(AJ66=0,IF(Z66=1,"Результат корректный; Перенос из старшего разряда не учитывается", "Результат корректный"),IF(Z59=0,"При сложении положительных чисел получен отрицательный результат; ПЕРЕПОЛНЕНИЕ!", "При сложении отрицательных чисел получен положительный результат; ПЕРЕПОЛНЕНИЕ!"))</f>
        <v>При сложении отрицательных чисел получен положительный результат; ПЕРЕПОЛНЕНИЕ!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8" spans="25:67" x14ac:dyDescent="0.45">
      <c r="Z68" s="6" t="s">
        <v>58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</row>
    <row r="69" spans="25:67" x14ac:dyDescent="0.45">
      <c r="Z69">
        <f>G5</f>
        <v>0</v>
      </c>
      <c r="AA69">
        <f t="shared" ref="AA69:AO69" si="233">H5</f>
        <v>0</v>
      </c>
      <c r="AB69">
        <f t="shared" si="233"/>
        <v>1</v>
      </c>
      <c r="AC69">
        <f t="shared" si="233"/>
        <v>1</v>
      </c>
      <c r="AD69">
        <f t="shared" si="233"/>
        <v>1</v>
      </c>
      <c r="AE69">
        <f t="shared" si="233"/>
        <v>1</v>
      </c>
      <c r="AF69">
        <f t="shared" si="233"/>
        <v>1</v>
      </c>
      <c r="AG69">
        <f t="shared" si="233"/>
        <v>0</v>
      </c>
      <c r="AH69">
        <f t="shared" si="233"/>
        <v>1</v>
      </c>
      <c r="AI69">
        <f t="shared" si="233"/>
        <v>1</v>
      </c>
      <c r="AJ69">
        <f t="shared" si="233"/>
        <v>0</v>
      </c>
      <c r="AK69">
        <f t="shared" si="233"/>
        <v>1</v>
      </c>
      <c r="AL69">
        <f t="shared" si="233"/>
        <v>0</v>
      </c>
      <c r="AM69">
        <f t="shared" si="233"/>
        <v>0</v>
      </c>
      <c r="AN69">
        <f t="shared" si="233"/>
        <v>0</v>
      </c>
      <c r="AO69">
        <f t="shared" si="233"/>
        <v>1</v>
      </c>
      <c r="AT69" t="s">
        <v>2</v>
      </c>
      <c r="AV69">
        <f>C5</f>
        <v>16081</v>
      </c>
    </row>
    <row r="70" spans="25:67" x14ac:dyDescent="0.45">
      <c r="Y70" s="1" t="s">
        <v>33</v>
      </c>
      <c r="Z70" s="2">
        <f t="shared" ref="Z70" si="234">IF((Z69+Z71+AA70) &gt;= 2,1,0)</f>
        <v>0</v>
      </c>
      <c r="AA70" s="2">
        <f t="shared" ref="AA70" si="235">IF((AA69+AA71+AB70) &gt;= 2,1,0)</f>
        <v>0</v>
      </c>
      <c r="AB70" s="2">
        <f t="shared" ref="AB70" si="236">IF((AB69+AB71+AC70) &gt;= 2,1,0)</f>
        <v>1</v>
      </c>
      <c r="AC70" s="2">
        <f t="shared" ref="AC70" si="237">IF((AC69+AC71+AD70) &gt;= 2,1,0)</f>
        <v>1</v>
      </c>
      <c r="AD70" s="2">
        <f t="shared" ref="AD70" si="238">IF((AD69+AD71+AE70) &gt;= 2,1,0)</f>
        <v>1</v>
      </c>
      <c r="AE70" s="2">
        <f t="shared" ref="AE70" si="239">IF((AE69+AE71+AF70) &gt;= 2,1,0)</f>
        <v>1</v>
      </c>
      <c r="AF70" s="2">
        <f t="shared" ref="AF70" si="240">IF((AF69+AF71+AG70) &gt;= 2,1,0)</f>
        <v>1</v>
      </c>
      <c r="AG70" s="2">
        <f t="shared" ref="AG70" si="241">IF((AG69+AG71+AH70) &gt;= 2,1,0)</f>
        <v>1</v>
      </c>
      <c r="AH70" s="2">
        <f t="shared" ref="AH70" si="242">IF((AH69+AH71+AI70) &gt;= 2,1,0)</f>
        <v>1</v>
      </c>
      <c r="AI70" s="2">
        <f t="shared" ref="AI70" si="243">IF((AI69+AI71+AJ70) &gt;= 2,1,0)</f>
        <v>0</v>
      </c>
      <c r="AJ70" s="2">
        <f t="shared" ref="AJ70" si="244">IF((AJ69+AJ71+AK70) &gt;= 2,1,0)</f>
        <v>0</v>
      </c>
      <c r="AK70" s="2">
        <f t="shared" ref="AK70" si="245">IF((AK69+AK71+AL70) &gt;= 2,1,0)</f>
        <v>1</v>
      </c>
      <c r="AL70" s="2">
        <f t="shared" ref="AL70" si="246">IF((AL69+AL71+AM70) &gt;= 2,1,0)</f>
        <v>0</v>
      </c>
      <c r="AM70" s="2">
        <f t="shared" ref="AM70" si="247">IF((AM69+AM71+AN70) &gt;= 2,1,0)</f>
        <v>0</v>
      </c>
      <c r="AN70" s="2">
        <f t="shared" ref="AN70" si="248">IF((AN69+AN71+AO70) &gt;= 2,1,0)</f>
        <v>0</v>
      </c>
      <c r="AO70" s="2">
        <f>IF((AO69+AO71+AP70) &gt;= 2,1,0)</f>
        <v>1</v>
      </c>
      <c r="AP70" s="2">
        <f>0</f>
        <v>0</v>
      </c>
      <c r="AT70" t="s">
        <v>33</v>
      </c>
    </row>
    <row r="71" spans="25:67" x14ac:dyDescent="0.45">
      <c r="Z71">
        <f>G12</f>
        <v>1</v>
      </c>
      <c r="AA71">
        <f t="shared" ref="AA71:AO71" si="249">H12</f>
        <v>0</v>
      </c>
      <c r="AB71">
        <f t="shared" si="249"/>
        <v>1</v>
      </c>
      <c r="AC71">
        <f t="shared" si="249"/>
        <v>1</v>
      </c>
      <c r="AD71">
        <f t="shared" si="249"/>
        <v>1</v>
      </c>
      <c r="AE71">
        <f t="shared" si="249"/>
        <v>1</v>
      </c>
      <c r="AF71">
        <f t="shared" si="249"/>
        <v>1</v>
      </c>
      <c r="AG71">
        <f t="shared" si="249"/>
        <v>1</v>
      </c>
      <c r="AH71">
        <f t="shared" si="249"/>
        <v>1</v>
      </c>
      <c r="AI71">
        <f t="shared" si="249"/>
        <v>0</v>
      </c>
      <c r="AJ71">
        <f t="shared" si="249"/>
        <v>0</v>
      </c>
      <c r="AK71">
        <f t="shared" si="249"/>
        <v>1</v>
      </c>
      <c r="AL71">
        <f t="shared" si="249"/>
        <v>1</v>
      </c>
      <c r="AM71">
        <f t="shared" si="249"/>
        <v>0</v>
      </c>
      <c r="AN71">
        <f t="shared" si="249"/>
        <v>0</v>
      </c>
      <c r="AO71">
        <f t="shared" si="249"/>
        <v>1</v>
      </c>
      <c r="AT71" t="s">
        <v>55</v>
      </c>
      <c r="AV71">
        <f>C12</f>
        <v>-16487</v>
      </c>
    </row>
    <row r="72" spans="25:67" x14ac:dyDescent="0.45">
      <c r="Y72" s="1" t="s">
        <v>34</v>
      </c>
      <c r="AQ72" s="2">
        <f>AO73*2^0 + AN73*2^1+AM73*2^2+AL73*2^3+AK73*2^4+AJ73*2^5+AI73*2^6+AH73*2^7+AG73*2^8+AF73*2^9+AE73*2^10+AD73*2^11+AC73*2^12+AB73*2^13+AA73*2^14+Z73*2^15</f>
        <v>65130</v>
      </c>
      <c r="AT72" t="s">
        <v>34</v>
      </c>
    </row>
    <row r="73" spans="25:67" x14ac:dyDescent="0.45">
      <c r="Z73">
        <f>MOD(Z69+Z71+AA70,2)</f>
        <v>1</v>
      </c>
      <c r="AA73">
        <f t="shared" ref="AA73" si="250">MOD(AA69+AA71+AB70,2)</f>
        <v>1</v>
      </c>
      <c r="AB73">
        <f t="shared" ref="AB73" si="251">MOD(AB69+AB71+AC70,2)</f>
        <v>1</v>
      </c>
      <c r="AC73">
        <f t="shared" ref="AC73" si="252">MOD(AC69+AC71+AD70,2)</f>
        <v>1</v>
      </c>
      <c r="AD73">
        <f t="shared" ref="AD73" si="253">MOD(AD69+AD71+AE70,2)</f>
        <v>1</v>
      </c>
      <c r="AE73">
        <f t="shared" ref="AE73" si="254">MOD(AE69+AE71+AF70,2)</f>
        <v>1</v>
      </c>
      <c r="AF73">
        <f t="shared" ref="AF73" si="255">MOD(AF69+AF71+AG70,2)</f>
        <v>1</v>
      </c>
      <c r="AG73">
        <f t="shared" ref="AG73" si="256">MOD(AG69+AG71+AH70,2)</f>
        <v>0</v>
      </c>
      <c r="AH73">
        <f t="shared" ref="AH73" si="257">MOD(AH69+AH71+AI70,2)</f>
        <v>0</v>
      </c>
      <c r="AI73">
        <f t="shared" ref="AI73" si="258">MOD(AI69+AI71+AJ70,2)</f>
        <v>1</v>
      </c>
      <c r="AJ73">
        <f t="shared" ref="AJ73" si="259">MOD(AJ69+AJ71+AK70,2)</f>
        <v>1</v>
      </c>
      <c r="AK73">
        <f t="shared" ref="AK73" si="260">MOD(AK69+AK71+AL70,2)</f>
        <v>0</v>
      </c>
      <c r="AL73">
        <f t="shared" ref="AL73" si="261">MOD(AL69+AL71+AM70,2)</f>
        <v>1</v>
      </c>
      <c r="AM73">
        <f t="shared" ref="AM73" si="262">MOD(AM69+AM71+AN70,2)</f>
        <v>0</v>
      </c>
      <c r="AN73">
        <f t="shared" ref="AN73" si="263">MOD(AN69+AN71+AO70,2)</f>
        <v>1</v>
      </c>
      <c r="AO73">
        <f>MOD(AO69+AO71+AP70,2)</f>
        <v>0</v>
      </c>
      <c r="AP73" s="3" t="s">
        <v>48</v>
      </c>
      <c r="AQ73">
        <f>IF(AH76=1, AQ72-2^16,AQ72)</f>
        <v>-406</v>
      </c>
      <c r="AR73" s="4" t="str">
        <f>"(10)"</f>
        <v>(10)</v>
      </c>
      <c r="AV73">
        <f>AV69+AV71</f>
        <v>-406</v>
      </c>
    </row>
    <row r="75" spans="25:67" x14ac:dyDescent="0.45">
      <c r="Z75" t="s">
        <v>42</v>
      </c>
      <c r="AB75" t="s">
        <v>43</v>
      </c>
      <c r="AD75" t="s">
        <v>44</v>
      </c>
      <c r="AF75" t="s">
        <v>45</v>
      </c>
      <c r="AH75" t="s">
        <v>46</v>
      </c>
      <c r="AJ75" t="s">
        <v>47</v>
      </c>
    </row>
    <row r="76" spans="25:67" x14ac:dyDescent="0.45">
      <c r="Z76">
        <f>Z70</f>
        <v>0</v>
      </c>
      <c r="AB76">
        <f>MOD(SUM(AH73:AO73),2)</f>
        <v>0</v>
      </c>
      <c r="AD76">
        <f>AL70</f>
        <v>0</v>
      </c>
      <c r="AF76">
        <f>IF(SUM(Z73:AO73)=0,1,0)</f>
        <v>0</v>
      </c>
      <c r="AH76">
        <f>Z73</f>
        <v>1</v>
      </c>
      <c r="AJ76">
        <f>MOD(AA70+Z70, 2)</f>
        <v>0</v>
      </c>
      <c r="AS76" s="6" t="str">
        <f>IF(AJ76=0,IF(Z76=1,"Результат корректный; Перенос из старшего разряда не учитывается", "Результат корректный"),IF(Z69=0,"При сложении положительных чисел получен отрицательный результат; ПЕРЕПОЛНЕНИЕ!", "При сложении отрицательных чисел получен положительный результат; ПЕРЕПОЛНЕНИЕ!"))</f>
        <v>Результат корректный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8" spans="25:67" x14ac:dyDescent="0.45">
      <c r="Z78" s="6" t="s">
        <v>59</v>
      </c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  <row r="79" spans="25:67" x14ac:dyDescent="0.45">
      <c r="Z79">
        <f>G15</f>
        <v>1</v>
      </c>
      <c r="AA79">
        <f t="shared" ref="AA79:AO79" si="264">H15</f>
        <v>1</v>
      </c>
      <c r="AB79">
        <f t="shared" si="264"/>
        <v>1</v>
      </c>
      <c r="AC79">
        <f t="shared" si="264"/>
        <v>1</v>
      </c>
      <c r="AD79">
        <f t="shared" si="264"/>
        <v>1</v>
      </c>
      <c r="AE79">
        <f t="shared" si="264"/>
        <v>1</v>
      </c>
      <c r="AF79">
        <f t="shared" si="264"/>
        <v>1</v>
      </c>
      <c r="AG79">
        <f t="shared" si="264"/>
        <v>0</v>
      </c>
      <c r="AH79">
        <f t="shared" si="264"/>
        <v>0</v>
      </c>
      <c r="AI79">
        <f t="shared" si="264"/>
        <v>1</v>
      </c>
      <c r="AJ79">
        <f t="shared" si="264"/>
        <v>1</v>
      </c>
      <c r="AK79">
        <f t="shared" si="264"/>
        <v>0</v>
      </c>
      <c r="AL79">
        <f t="shared" si="264"/>
        <v>1</v>
      </c>
      <c r="AM79">
        <f t="shared" si="264"/>
        <v>0</v>
      </c>
      <c r="AN79">
        <f t="shared" si="264"/>
        <v>1</v>
      </c>
      <c r="AO79">
        <f t="shared" si="264"/>
        <v>0</v>
      </c>
      <c r="AT79" t="s">
        <v>60</v>
      </c>
      <c r="AV79">
        <f>C15</f>
        <v>-406</v>
      </c>
    </row>
    <row r="80" spans="25:67" x14ac:dyDescent="0.45">
      <c r="Y80" s="1" t="s">
        <v>33</v>
      </c>
      <c r="Z80" s="2">
        <f t="shared" ref="Z80" si="265">IF((Z79+Z81+AA80) &gt;= 2,1,0)</f>
        <v>1</v>
      </c>
      <c r="AA80" s="2">
        <f t="shared" ref="AA80" si="266">IF((AA79+AA81+AB80) &gt;= 2,1,0)</f>
        <v>1</v>
      </c>
      <c r="AB80" s="2">
        <f t="shared" ref="AB80" si="267">IF((AB79+AB81+AC80) &gt;= 2,1,0)</f>
        <v>1</v>
      </c>
      <c r="AC80" s="2">
        <f t="shared" ref="AC80" si="268">IF((AC79+AC81+AD80) &gt;= 2,1,0)</f>
        <v>1</v>
      </c>
      <c r="AD80" s="2">
        <f t="shared" ref="AD80" si="269">IF((AD79+AD81+AE80) &gt;= 2,1,0)</f>
        <v>1</v>
      </c>
      <c r="AE80" s="2">
        <f t="shared" ref="AE80" si="270">IF((AE79+AE81+AF80) &gt;= 2,1,0)</f>
        <v>1</v>
      </c>
      <c r="AF80" s="2">
        <f t="shared" ref="AF80" si="271">IF((AF79+AF81+AG80) &gt;= 2,1,0)</f>
        <v>1</v>
      </c>
      <c r="AG80" s="2">
        <f t="shared" ref="AG80" si="272">IF((AG79+AG81+AH80) &gt;= 2,1,0)</f>
        <v>0</v>
      </c>
      <c r="AH80" s="2">
        <f t="shared" ref="AH80" si="273">IF((AH79+AH81+AI80) &gt;= 2,1,0)</f>
        <v>0</v>
      </c>
      <c r="AI80" s="2">
        <f t="shared" ref="AI80" si="274">IF((AI79+AI81+AJ80) &gt;= 2,1,0)</f>
        <v>1</v>
      </c>
      <c r="AJ80" s="2">
        <f t="shared" ref="AJ80" si="275">IF((AJ79+AJ81+AK80) &gt;= 2,1,0)</f>
        <v>1</v>
      </c>
      <c r="AK80" s="2">
        <f t="shared" ref="AK80" si="276">IF((AK79+AK81+AL80) &gt;= 2,1,0)</f>
        <v>1</v>
      </c>
      <c r="AL80" s="2">
        <f t="shared" ref="AL80" si="277">IF((AL79+AL81+AM80) &gt;= 2,1,0)</f>
        <v>1</v>
      </c>
      <c r="AM80" s="2">
        <f t="shared" ref="AM80" si="278">IF((AM79+AM81+AN80) &gt;= 2,1,0)</f>
        <v>0</v>
      </c>
      <c r="AN80" s="2">
        <f t="shared" ref="AN80" si="279">IF((AN79+AN81+AO80) &gt;= 2,1,0)</f>
        <v>0</v>
      </c>
      <c r="AO80" s="2">
        <f>IF((AO79+AO81+AP80) &gt;= 2,1,0)</f>
        <v>0</v>
      </c>
      <c r="AP80" s="2">
        <f>0</f>
        <v>0</v>
      </c>
      <c r="AT80" t="s">
        <v>33</v>
      </c>
    </row>
    <row r="81" spans="25:67" x14ac:dyDescent="0.45">
      <c r="Z81">
        <f>G7</f>
        <v>0</v>
      </c>
      <c r="AA81">
        <f t="shared" ref="AA81:AO81" si="280">H7</f>
        <v>1</v>
      </c>
      <c r="AB81">
        <f t="shared" si="280"/>
        <v>1</v>
      </c>
      <c r="AC81">
        <f t="shared" si="280"/>
        <v>1</v>
      </c>
      <c r="AD81">
        <f t="shared" si="280"/>
        <v>1</v>
      </c>
      <c r="AE81">
        <f t="shared" si="280"/>
        <v>1</v>
      </c>
      <c r="AF81">
        <f t="shared" si="280"/>
        <v>1</v>
      </c>
      <c r="AG81">
        <f t="shared" si="280"/>
        <v>1</v>
      </c>
      <c r="AH81">
        <f t="shared" si="280"/>
        <v>0</v>
      </c>
      <c r="AI81">
        <f t="shared" si="280"/>
        <v>0</v>
      </c>
      <c r="AJ81">
        <f t="shared" si="280"/>
        <v>1</v>
      </c>
      <c r="AK81">
        <f t="shared" si="280"/>
        <v>1</v>
      </c>
      <c r="AL81">
        <f t="shared" si="280"/>
        <v>1</v>
      </c>
      <c r="AM81">
        <f t="shared" si="280"/>
        <v>0</v>
      </c>
      <c r="AN81">
        <f t="shared" si="280"/>
        <v>0</v>
      </c>
      <c r="AO81">
        <f t="shared" si="280"/>
        <v>0</v>
      </c>
      <c r="AT81" t="s">
        <v>53</v>
      </c>
      <c r="AV81">
        <f>C7</f>
        <v>32568</v>
      </c>
    </row>
    <row r="82" spans="25:67" x14ac:dyDescent="0.45">
      <c r="Y82" s="1" t="s">
        <v>34</v>
      </c>
      <c r="AQ82" s="2">
        <f>AO83*2^0 + AN83*2^1+AM83*2^2+AL83*2^3+AK83*2^4+AJ83*2^5+AI83*2^6+AH83*2^7+AG83*2^8+AF83*2^9+AE83*2^10+AD83*2^11+AC83*2^12+AB83*2^13+AA83*2^14+Z83*2^15</f>
        <v>32162</v>
      </c>
      <c r="AT82" t="s">
        <v>34</v>
      </c>
    </row>
    <row r="83" spans="25:67" x14ac:dyDescent="0.45">
      <c r="Z83">
        <f>MOD(Z79+Z81+AA80,2)</f>
        <v>0</v>
      </c>
      <c r="AA83">
        <f t="shared" ref="AA83" si="281">MOD(AA79+AA81+AB80,2)</f>
        <v>1</v>
      </c>
      <c r="AB83">
        <f t="shared" ref="AB83" si="282">MOD(AB79+AB81+AC80,2)</f>
        <v>1</v>
      </c>
      <c r="AC83">
        <f t="shared" ref="AC83" si="283">MOD(AC79+AC81+AD80,2)</f>
        <v>1</v>
      </c>
      <c r="AD83">
        <f t="shared" ref="AD83" si="284">MOD(AD79+AD81+AE80,2)</f>
        <v>1</v>
      </c>
      <c r="AE83">
        <f t="shared" ref="AE83" si="285">MOD(AE79+AE81+AF80,2)</f>
        <v>1</v>
      </c>
      <c r="AF83">
        <f t="shared" ref="AF83" si="286">MOD(AF79+AF81+AG80,2)</f>
        <v>0</v>
      </c>
      <c r="AG83">
        <f t="shared" ref="AG83" si="287">MOD(AG79+AG81+AH80,2)</f>
        <v>1</v>
      </c>
      <c r="AH83">
        <f t="shared" ref="AH83" si="288">MOD(AH79+AH81+AI80,2)</f>
        <v>1</v>
      </c>
      <c r="AI83">
        <f t="shared" ref="AI83" si="289">MOD(AI79+AI81+AJ80,2)</f>
        <v>0</v>
      </c>
      <c r="AJ83">
        <f t="shared" ref="AJ83" si="290">MOD(AJ79+AJ81+AK80,2)</f>
        <v>1</v>
      </c>
      <c r="AK83">
        <f t="shared" ref="AK83" si="291">MOD(AK79+AK81+AL80,2)</f>
        <v>0</v>
      </c>
      <c r="AL83">
        <f t="shared" ref="AL83" si="292">MOD(AL79+AL81+AM80,2)</f>
        <v>0</v>
      </c>
      <c r="AM83">
        <f t="shared" ref="AM83" si="293">MOD(AM79+AM81+AN80,2)</f>
        <v>0</v>
      </c>
      <c r="AN83">
        <f t="shared" ref="AN83" si="294">MOD(AN79+AN81+AO80,2)</f>
        <v>1</v>
      </c>
      <c r="AO83">
        <f>MOD(AO79+AO81+AP80,2)</f>
        <v>0</v>
      </c>
      <c r="AP83" s="3" t="s">
        <v>48</v>
      </c>
      <c r="AQ83">
        <f>IF(AH86=1, AQ82-2^16,AQ82)</f>
        <v>32162</v>
      </c>
      <c r="AR83" s="4" t="str">
        <f>"(10)"</f>
        <v>(10)</v>
      </c>
      <c r="AV83">
        <f>AV79+AV81</f>
        <v>32162</v>
      </c>
    </row>
    <row r="85" spans="25:67" x14ac:dyDescent="0.45">
      <c r="Z85" t="s">
        <v>42</v>
      </c>
      <c r="AB85" t="s">
        <v>43</v>
      </c>
      <c r="AD85" t="s">
        <v>44</v>
      </c>
      <c r="AF85" t="s">
        <v>45</v>
      </c>
      <c r="AH85" t="s">
        <v>46</v>
      </c>
      <c r="AJ85" t="s">
        <v>47</v>
      </c>
    </row>
    <row r="86" spans="25:67" x14ac:dyDescent="0.45">
      <c r="Z86">
        <f>Z80</f>
        <v>1</v>
      </c>
      <c r="AB86">
        <f>MOD(SUM(AH83:AO83),2)</f>
        <v>1</v>
      </c>
      <c r="AD86">
        <f>AL80</f>
        <v>1</v>
      </c>
      <c r="AF86">
        <f>IF(SUM(Z83:AO83)=0,1,0)</f>
        <v>0</v>
      </c>
      <c r="AH86">
        <f>Z83</f>
        <v>0</v>
      </c>
      <c r="AJ86">
        <f>MOD(AA80+Z80, 2)</f>
        <v>0</v>
      </c>
      <c r="AS86" s="6" t="str">
        <f>IF(AJ86=0,IF(Z86=1,"Результат корректный; Перенос из старшего разряда не учитывается", "Результат корректный"),IF(Z79=0,"При сложении положительных чисел получен отрицательный результат; ПЕРЕПОЛНЕНИЕ!", "При сложении отрицательных чисел получен положительный результат; ПЕРЕПОЛНЕНИЕ!"))</f>
        <v>Результат корректный; Перенос из старшего разряда не учитывается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</sheetData>
  <mergeCells count="20">
    <mergeCell ref="Z58:AO58"/>
    <mergeCell ref="Z68:AO68"/>
    <mergeCell ref="Z78:AO78"/>
    <mergeCell ref="AS66:BO66"/>
    <mergeCell ref="AS76:BO76"/>
    <mergeCell ref="AS86:BO86"/>
    <mergeCell ref="G39:V39"/>
    <mergeCell ref="G46:V46"/>
    <mergeCell ref="G53:V53"/>
    <mergeCell ref="Z28:AO28"/>
    <mergeCell ref="Z38:AO38"/>
    <mergeCell ref="Z48:AO48"/>
    <mergeCell ref="AS26:BO26"/>
    <mergeCell ref="AS46:BO46"/>
    <mergeCell ref="AS56:BO56"/>
    <mergeCell ref="Z4:AG13"/>
    <mergeCell ref="Z18:AO18"/>
    <mergeCell ref="G18:V18"/>
    <mergeCell ref="G25:V25"/>
    <mergeCell ref="G32:V32"/>
  </mergeCells>
  <phoneticPr fontId="5" type="noConversion"/>
  <pageMargins left="0.7" right="0.7" top="0.75" bottom="0.75" header="0.3" footer="0.3"/>
  <pageSetup scale="32" orientation="portrait" r:id="rId1"/>
  <headerFooter>
    <oddHeader>&amp;LЖгилев Иван Игоревич&amp;CВариант 10&amp;R&amp;F</oddHeader>
    <oddFooter>&amp;L18.11.2025&amp;C10:04</oddFooter>
  </headerFooter>
  <colBreaks count="1" manualBreakCount="1">
    <brk id="67" max="12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Жгилев</dc:creator>
  <cp:lastModifiedBy>Иван Жгилев</cp:lastModifiedBy>
  <dcterms:created xsi:type="dcterms:W3CDTF">2025-11-18T07:11:04Z</dcterms:created>
  <dcterms:modified xsi:type="dcterms:W3CDTF">2025-12-04T08:49:55Z</dcterms:modified>
</cp:coreProperties>
</file>